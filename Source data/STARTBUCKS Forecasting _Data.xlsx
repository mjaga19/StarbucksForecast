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gad\Downloads\"/>
    </mc:Choice>
  </mc:AlternateContent>
  <xr:revisionPtr revIDLastSave="0" documentId="13_ncr:1_{56F419D5-5C10-4787-AC0B-EE4618755DAF}" xr6:coauthVersionLast="47" xr6:coauthVersionMax="47" xr10:uidLastSave="{00000000-0000-0000-0000-000000000000}"/>
  <bookViews>
    <workbookView xWindow="-120" yWindow="-120" windowWidth="29040" windowHeight="15720" tabRatio="438" xr2:uid="{403C0425-A6A0-CC49-99DD-F5F928D8FFEB}"/>
  </bookViews>
  <sheets>
    <sheet name="Forecasting (STARBUCKS) 1A" sheetId="1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12" l="1"/>
  <c r="E42" i="112" l="1"/>
  <c r="E41" i="112"/>
  <c r="F43" i="112" l="1"/>
  <c r="G43" i="112"/>
  <c r="I43" i="112" l="1"/>
  <c r="H43" i="1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Tay</author>
  </authors>
  <commentList>
    <comment ref="T61" authorId="0" shapeId="0" xr:uid="{1C449352-F906-A542-A807-E93B4ECC2B63}">
      <text>
        <r>
          <rPr>
            <b/>
            <sz val="10"/>
            <color rgb="FFFF0000"/>
            <rFont val="Tahoma"/>
            <family val="2"/>
          </rPr>
          <t xml:space="preserve">DO NOT </t>
        </r>
        <r>
          <rPr>
            <b/>
            <sz val="10"/>
            <color rgb="FF000000"/>
            <rFont val="Tahoma"/>
            <family val="2"/>
          </rPr>
          <t>EDIT or CHANGE CELL ELEMENTS IN THIS TABLE.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X63" authorId="0" shapeId="0" xr:uid="{FBBAB0B4-9208-934E-ABD9-4C2E3D3784F4}">
      <text>
        <r>
          <rPr>
            <sz val="10"/>
            <color rgb="FF000000"/>
            <rFont val="Tahoma"/>
            <family val="2"/>
          </rPr>
          <t xml:space="preserve">Initial forecast based on Scenario chosen to best represent line item.
</t>
        </r>
      </text>
    </comment>
    <comment ref="T92" authorId="0" shapeId="0" xr:uid="{FFE6ADA9-5635-A541-A84A-A54FF35BA4A3}">
      <text>
        <r>
          <rPr>
            <b/>
            <sz val="10"/>
            <color rgb="FF000000"/>
            <rFont val="Tahoma"/>
            <family val="2"/>
          </rPr>
          <t xml:space="preserve">MAKE SELECTIONS in this Table 2.  </t>
        </r>
        <r>
          <rPr>
            <sz val="10"/>
            <color rgb="FF000000"/>
            <rFont val="Tahoma"/>
            <family val="2"/>
          </rPr>
          <t xml:space="preserve">The changes will be reflected in Table 1.
</t>
        </r>
      </text>
    </comment>
  </commentList>
</comments>
</file>

<file path=xl/sharedStrings.xml><?xml version="1.0" encoding="utf-8"?>
<sst xmlns="http://schemas.openxmlformats.org/spreadsheetml/2006/main" count="161" uniqueCount="80">
  <si>
    <t>LOB</t>
  </si>
  <si>
    <t>International</t>
  </si>
  <si>
    <t>Starbucks</t>
  </si>
  <si>
    <t>Q4</t>
  </si>
  <si>
    <t>Q1</t>
  </si>
  <si>
    <t>Q2</t>
  </si>
  <si>
    <t>Q3</t>
  </si>
  <si>
    <t>TIME SERIES FORECASTING - MOVING AVERAGE, EXPONENTIAL SMOOTHING</t>
  </si>
  <si>
    <t>X</t>
  </si>
  <si>
    <t>YEAR</t>
  </si>
  <si>
    <t>QTR</t>
  </si>
  <si>
    <t>3-MA Simple</t>
  </si>
  <si>
    <t>5-MA Symm</t>
  </si>
  <si>
    <t>ES1</t>
  </si>
  <si>
    <t>ES1a</t>
  </si>
  <si>
    <t>TTM</t>
  </si>
  <si>
    <t>Note:</t>
  </si>
  <si>
    <t>1.  3-MA Simple</t>
  </si>
  <si>
    <t>2.  5-MA Symm</t>
  </si>
  <si>
    <t>3.  Exp Smoothing (ES)</t>
  </si>
  <si>
    <t>⍺ = 0.7</t>
  </si>
  <si>
    <t>(Dampening Factor = blank (default))</t>
  </si>
  <si>
    <t>3a. Exp Smoothing (ES)</t>
  </si>
  <si>
    <t>⍺ = 0.3</t>
  </si>
  <si>
    <t>(Dampening Factor = 0.7)</t>
  </si>
  <si>
    <t>Use FORECAST.ETS formula</t>
  </si>
  <si>
    <t>Use FORECAST.ETS.CONFINT formula</t>
  </si>
  <si>
    <t>(4a and 4b are the extensions to FORECAST.ETS providing confidence levels)</t>
  </si>
  <si>
    <t>M8=sum(x1..x4), M9=sum(x2..x5) etc.</t>
  </si>
  <si>
    <t>For forecast.ets, remember to reference lock ($$) the cells</t>
  </si>
  <si>
    <t>For forecast.linear, remember to reference lock ($$) the cells</t>
  </si>
  <si>
    <r>
      <t>The FORECAST.ETS function calculates or </t>
    </r>
    <r>
      <rPr>
        <b/>
        <sz val="11"/>
        <color rgb="FF202124"/>
        <rFont val="Arial"/>
        <family val="2"/>
      </rPr>
      <t>predicts</t>
    </r>
    <r>
      <rPr>
        <sz val="11"/>
        <color rgb="FF202124"/>
        <rFont val="Arial"/>
        <family val="2"/>
      </rPr>
      <t> a future value based on existing (historical) values. 
The predicted value is a continuation of the historical values in the specified target date, which should be a continuation of the timeline.</t>
    </r>
  </si>
  <si>
    <t>2 = X11</t>
  </si>
  <si>
    <t>3 (alpha=0.7)</t>
  </si>
  <si>
    <t>3a (alpha=0.3)</t>
  </si>
  <si>
    <t>(FY - Sep)</t>
  </si>
  <si>
    <t>ETS</t>
  </si>
  <si>
    <t>ETS (LB)</t>
  </si>
  <si>
    <t>ETS (UB)</t>
  </si>
  <si>
    <t>LB</t>
  </si>
  <si>
    <t>UB</t>
  </si>
  <si>
    <t>SEGMENT ANALYSIS</t>
  </si>
  <si>
    <t>LIST</t>
  </si>
  <si>
    <t>MARKET</t>
  </si>
  <si>
    <t>QUARTER</t>
  </si>
  <si>
    <t>Others (MKT)</t>
  </si>
  <si>
    <t>North America</t>
  </si>
  <si>
    <t>Licensed</t>
  </si>
  <si>
    <t>STORE TYPE</t>
  </si>
  <si>
    <t>Other (STORE)</t>
  </si>
  <si>
    <t>Beverage</t>
  </si>
  <si>
    <t>Food</t>
  </si>
  <si>
    <t>Company-Op</t>
  </si>
  <si>
    <t>Other (LOB)</t>
  </si>
  <si>
    <t>Q4 LB</t>
  </si>
  <si>
    <t>Q4 UB</t>
  </si>
  <si>
    <t>Q1 LB</t>
  </si>
  <si>
    <t>Q1 UB</t>
  </si>
  <si>
    <t>Q2 LB</t>
  </si>
  <si>
    <t>Q2 UB</t>
  </si>
  <si>
    <t>Q3 LB</t>
  </si>
  <si>
    <t>Q3 UB</t>
  </si>
  <si>
    <t>Exp</t>
  </si>
  <si>
    <t>4a</t>
  </si>
  <si>
    <t>4b</t>
  </si>
  <si>
    <t>SEGMENT</t>
  </si>
  <si>
    <t>4.  Forecast ETS (using Raw Data)</t>
  </si>
  <si>
    <t>4a Lower Bound Confidence Level</t>
  </si>
  <si>
    <t>4b Upper Bound Confidence Level</t>
  </si>
  <si>
    <t>5.  Trailing Twelve Months (TTM)</t>
  </si>
  <si>
    <t>FY 2023</t>
  </si>
  <si>
    <t>F7=average (x1+x2+x3)</t>
  </si>
  <si>
    <t>G7=average (x1+x2+x3+x4+x5)</t>
  </si>
  <si>
    <t>H7=x1, G8=(0.7*x2)+(0.3*G6) etc.</t>
  </si>
  <si>
    <t>I7=x1, G8=(0.3*x2)+(0.7*G6) etc.</t>
  </si>
  <si>
    <t>Nike - Raw Data</t>
  </si>
  <si>
    <t>FY 2024</t>
  </si>
  <si>
    <t>FY 2025 (f)</t>
  </si>
  <si>
    <t>FY 2025 (f) Total</t>
  </si>
  <si>
    <t>FY 2025 (to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</si>
</sst>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202124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rgb="FF202124"/>
      <name val="Arial"/>
      <family val="2"/>
    </font>
    <font>
      <sz val="12"/>
      <color rgb="FF202124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2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5" borderId="0" xfId="0" applyFill="1" applyAlignment="1">
      <alignment vertical="center"/>
    </xf>
    <xf numFmtId="165" fontId="0" fillId="0" borderId="0" xfId="1" applyNumberFormat="1" applyFont="1" applyAlignment="1">
      <alignment horizontal="right" vertical="center"/>
    </xf>
    <xf numFmtId="165" fontId="0" fillId="0" borderId="0" xfId="1" applyNumberFormat="1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7" borderId="3" xfId="1" applyNumberFormat="1" applyFont="1" applyFill="1" applyBorder="1" applyAlignment="1">
      <alignment horizontal="right" vertical="center"/>
    </xf>
    <xf numFmtId="165" fontId="0" fillId="0" borderId="3" xfId="1" applyNumberFormat="1" applyFont="1" applyBorder="1" applyAlignment="1">
      <alignment horizontal="right" vertical="center"/>
    </xf>
    <xf numFmtId="165" fontId="0" fillId="0" borderId="3" xfId="1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center" vertical="center"/>
    </xf>
    <xf numFmtId="0" fontId="3" fillId="0" borderId="0" xfId="0" applyFont="1"/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9" fillId="8" borderId="0" xfId="0" applyFont="1" applyFill="1"/>
    <xf numFmtId="164" fontId="0" fillId="2" borderId="0" xfId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7" fontId="0" fillId="0" borderId="0" xfId="0" applyNumberFormat="1" applyAlignment="1">
      <alignment vertical="center"/>
    </xf>
    <xf numFmtId="165" fontId="0" fillId="0" borderId="0" xfId="1" applyNumberFormat="1" applyFont="1" applyFill="1" applyAlignment="1">
      <alignment vertical="center"/>
    </xf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165" fontId="0" fillId="0" borderId="0" xfId="0" applyNumberFormat="1" applyAlignment="1">
      <alignment horizontal="center" vertical="center"/>
    </xf>
    <xf numFmtId="37" fontId="0" fillId="0" borderId="0" xfId="0" applyNumberFormat="1"/>
    <xf numFmtId="37" fontId="0" fillId="0" borderId="0" xfId="0" applyNumberFormat="1" applyAlignment="1">
      <alignment horizontal="right" vertical="center"/>
    </xf>
    <xf numFmtId="9" fontId="0" fillId="0" borderId="0" xfId="2" applyFont="1" applyFill="1" applyBorder="1" applyAlignment="1">
      <alignment horizontal="center" vertical="center"/>
    </xf>
    <xf numFmtId="165" fontId="0" fillId="0" borderId="0" xfId="1" applyNumberFormat="1" applyFont="1" applyFill="1"/>
    <xf numFmtId="0" fontId="0" fillId="6" borderId="4" xfId="0" applyFill="1" applyBorder="1" applyAlignment="1">
      <alignment horizontal="center" vertical="center"/>
    </xf>
    <xf numFmtId="165" fontId="0" fillId="0" borderId="4" xfId="1" applyNumberFormat="1" applyFont="1" applyBorder="1" applyAlignment="1">
      <alignment horizontal="right" vertical="center"/>
    </xf>
    <xf numFmtId="165" fontId="0" fillId="0" borderId="4" xfId="1" applyNumberFormat="1" applyFont="1" applyFill="1" applyBorder="1" applyAlignment="1">
      <alignment horizontal="right" vertical="center"/>
    </xf>
    <xf numFmtId="165" fontId="0" fillId="0" borderId="0" xfId="1" applyNumberFormat="1" applyFont="1" applyFill="1" applyBorder="1" applyAlignment="1">
      <alignment horizontal="right" vertical="center"/>
    </xf>
    <xf numFmtId="165" fontId="0" fillId="0" borderId="0" xfId="1" applyNumberFormat="1" applyFont="1" applyFill="1" applyBorder="1" applyAlignment="1">
      <alignment vertical="center"/>
    </xf>
    <xf numFmtId="165" fontId="0" fillId="0" borderId="0" xfId="1" applyNumberFormat="1" applyFont="1" applyFill="1" applyBorder="1"/>
    <xf numFmtId="165" fontId="11" fillId="0" borderId="0" xfId="1" applyNumberFormat="1" applyFont="1" applyFill="1" applyBorder="1" applyAlignment="1">
      <alignment vertical="center" wrapText="1"/>
    </xf>
    <xf numFmtId="165" fontId="0" fillId="0" borderId="0" xfId="2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0" fontId="3" fillId="0" borderId="0" xfId="2" applyNumberFormat="1" applyFont="1" applyFill="1" applyBorder="1" applyAlignment="1">
      <alignment vertical="center"/>
    </xf>
    <xf numFmtId="10" fontId="3" fillId="0" borderId="0" xfId="2" applyNumberFormat="1" applyFont="1" applyFill="1" applyBorder="1"/>
    <xf numFmtId="9" fontId="0" fillId="0" borderId="0" xfId="2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0" fontId="0" fillId="0" borderId="0" xfId="2" applyNumberFormat="1" applyFont="1" applyFill="1" applyBorder="1" applyAlignment="1">
      <alignment horizontal="center" vertical="center"/>
    </xf>
    <xf numFmtId="9" fontId="0" fillId="0" borderId="0" xfId="2" applyFont="1" applyFill="1" applyBorder="1"/>
    <xf numFmtId="0" fontId="15" fillId="0" borderId="0" xfId="0" applyFont="1"/>
    <xf numFmtId="0" fontId="16" fillId="0" borderId="0" xfId="0" applyFont="1" applyAlignment="1">
      <alignment vertical="center"/>
    </xf>
    <xf numFmtId="166" fontId="0" fillId="0" borderId="0" xfId="1" applyNumberFormat="1" applyFont="1"/>
    <xf numFmtId="165" fontId="0" fillId="0" borderId="0" xfId="1" applyNumberFormat="1" applyFont="1"/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0" fillId="0" borderId="0" xfId="0" applyNumberFormat="1" applyFill="1"/>
    <xf numFmtId="165" fontId="0" fillId="0" borderId="5" xfId="1" applyNumberFormat="1" applyFont="1" applyBorder="1" applyAlignment="1">
      <alignment horizontal="right" vertical="center"/>
    </xf>
    <xf numFmtId="165" fontId="0" fillId="0" borderId="5" xfId="1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6"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9D4FF"/>
      <color rgb="FFF3F4FD"/>
      <color rgb="FFDDB1FE"/>
      <color rgb="FFA04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BD46D2-9732-0A4B-A2B4-23A3942AC499}" name="Table145891539575" displayName="Table145891539575" ref="B5:M37" totalsRowShown="0" headerRowDxfId="35" dataDxfId="34">
  <autoFilter ref="B5:M37" xr:uid="{1ABD46D2-9732-0A4B-A2B4-23A3942AC499}"/>
  <tableColumns count="12">
    <tableColumn id="1" xr3:uid="{68E8B8EB-85FF-C44A-A32F-D9542086965C}" name="X" dataDxfId="33"/>
    <tableColumn id="7" xr3:uid="{F0FC4530-0DE8-AC43-9854-34C7C4B6D6BC}" name="YEAR" dataDxfId="32"/>
    <tableColumn id="2" xr3:uid="{A3452BAA-C00E-864F-A111-0ED3C3ACD5A7}" name="QTR" dataDxfId="31"/>
    <tableColumn id="3" xr3:uid="{60280B33-0C61-4949-A528-7D5AE6B52064}" name="Nike - Raw Data" dataDxfId="30" dataCellStyle="Comma"/>
    <tableColumn id="4" xr3:uid="{6623C4CD-C646-F347-91E5-F6621516B1CB}" name="3-MA Simple" dataDxfId="29" dataCellStyle="Comma"/>
    <tableColumn id="5" xr3:uid="{46DF6F0C-00E8-5745-989B-C2E053AEE5E5}" name="5-MA Symm" dataDxfId="28" dataCellStyle="Comma"/>
    <tableColumn id="6" xr3:uid="{8FC1B8E6-8EE3-A44D-A088-311382D3E297}" name="ES1" dataDxfId="27" dataCellStyle="Comma"/>
    <tableColumn id="9" xr3:uid="{2879BA3E-9F10-A043-BF6D-E8568D101DA1}" name="ES1a" dataDxfId="26" dataCellStyle="Comma"/>
    <tableColumn id="10" xr3:uid="{F41952F2-B01E-A249-BDAC-9D3529A3B62E}" name="ETS" dataDxfId="25" dataCellStyle="Comma"/>
    <tableColumn id="11" xr3:uid="{D1357CEE-1BD9-574C-8D54-7179DDD450DA}" name="ETS (LB)" dataDxfId="24" dataCellStyle="Comma"/>
    <tableColumn id="12" xr3:uid="{C93E684F-C95C-3840-840F-E266FA284141}" name="ETS (UB)" dataDxfId="23" dataCellStyle="Comma"/>
    <tableColumn id="8" xr3:uid="{567B4CED-3794-D24B-BE71-E4FDC17032E4}" name="TTM" dataDxfId="22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448F57-F196-41B5-8F1F-492111B8ED59}" name="Table7" displayName="Table7" ref="B48:M59" headerRowCount="0" totalsRowShown="0" headerRowDxfId="12" headerRowBorderDxfId="20" tableBorderDxfId="21" headerRowCellStyle="Comma">
  <tableColumns count="12">
    <tableColumn id="1" xr3:uid="{D4150EDE-F9A3-4E73-9F07-EC6DCEB2073C}" name="Column1" headerRowDxfId="0" dataDxfId="19"/>
    <tableColumn id="2" xr3:uid="{4400CD87-9B02-4065-A5C9-B5D08ACCB9BD}" name="Column2" headerRowDxfId="1" dataDxfId="18"/>
    <tableColumn id="3" xr3:uid="{6EDE4F68-FD93-4884-9CE7-A20731628A35}" name="Column3" headerRowDxfId="2" dataDxfId="17"/>
    <tableColumn id="4" xr3:uid="{B70C2B3C-6617-49E5-AABD-3881058FDA46}" name="Column4" headerRowDxfId="3" headerRowCellStyle="Comma"/>
    <tableColumn id="5" xr3:uid="{54CFC9F5-E5FB-4C2E-BF28-A3F7942F9BBF}" name="Column5" headerRowDxfId="4" dataDxfId="16" headerRowCellStyle="Comma" dataCellStyle="Comma"/>
    <tableColumn id="6" xr3:uid="{3B849274-302C-43CD-ABEB-85CE80E1BA8E}" name="Column6" headerRowDxfId="5" dataDxfId="15" headerRowCellStyle="Comma" dataCellStyle="Comma"/>
    <tableColumn id="7" xr3:uid="{9742AB54-4889-43CF-9983-8D1666A29205}" name="Column7" headerRowDxfId="6" dataDxfId="14" headerRowCellStyle="Comma" dataCellStyle="Comma"/>
    <tableColumn id="8" xr3:uid="{C1F3A1BD-A847-47B1-AD24-C51E32B9A5A3}" name="Column8" headerRowDxfId="7" dataDxfId="13" headerRowCellStyle="Comma" dataCellStyle="Comma"/>
    <tableColumn id="9" xr3:uid="{02BB35DE-586A-4927-B54C-5FD9E62A4433}" name="Column9" headerRowDxfId="8" headerRowCellStyle="Comma"/>
    <tableColumn id="10" xr3:uid="{4C0D7E6C-7EF5-4804-AE46-15AB009827D9}" name="Column10" headerRowDxfId="9" headerRowCellStyle="Comma"/>
    <tableColumn id="11" xr3:uid="{AD776E4D-9901-4F58-A6EC-2F47E9CFFA0F}" name="Column11" headerRowDxfId="10" headerRowCellStyle="Comma"/>
    <tableColumn id="12" xr3:uid="{0021CB09-032A-46EC-ABBB-6D1D881B4695}" name="Column12" headerRowDxfId="11" headerRowCellStyle="Comm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BAA4-6E1E-D040-BD95-19E7CF36F098}">
  <sheetPr codeName="Sheet5">
    <tabColor theme="9" tint="0.59999389629810485"/>
  </sheetPr>
  <dimension ref="A1:BI155"/>
  <sheetViews>
    <sheetView tabSelected="1" zoomScale="68" zoomScaleNormal="68" workbookViewId="0">
      <selection activeCell="Q31" sqref="Q31"/>
    </sheetView>
  </sheetViews>
  <sheetFormatPr defaultColWidth="11" defaultRowHeight="15.75" x14ac:dyDescent="0.25"/>
  <cols>
    <col min="1" max="1" width="15" style="2" customWidth="1"/>
    <col min="2" max="2" width="14.875" style="2" customWidth="1"/>
    <col min="3" max="3" width="10.625" style="2" customWidth="1"/>
    <col min="4" max="4" width="14.875" style="2" bestFit="1" customWidth="1"/>
    <col min="5" max="5" width="15.875" style="2" customWidth="1"/>
    <col min="6" max="6" width="15.625" style="2" customWidth="1"/>
    <col min="7" max="7" width="15.5" style="2" customWidth="1"/>
    <col min="8" max="9" width="13.5" style="2" customWidth="1"/>
    <col min="10" max="12" width="13" style="2" customWidth="1"/>
    <col min="13" max="13" width="14.375" customWidth="1"/>
    <col min="14" max="14" width="12.875" style="6" customWidth="1"/>
    <col min="15" max="15" width="12.5" customWidth="1"/>
    <col min="16" max="16" width="12" bestFit="1" customWidth="1"/>
    <col min="17" max="17" width="12.625" bestFit="1" customWidth="1"/>
    <col min="18" max="18" width="11.875" customWidth="1"/>
    <col min="21" max="21" width="13" customWidth="1"/>
    <col min="22" max="22" width="15" style="2" customWidth="1"/>
    <col min="23" max="23" width="15.5" style="2" customWidth="1"/>
    <col min="24" max="24" width="14.5" style="2" customWidth="1"/>
    <col min="25" max="25" width="15.125" style="2" customWidth="1"/>
    <col min="26" max="26" width="14.375" style="2" customWidth="1"/>
    <col min="27" max="27" width="12.625" style="2" bestFit="1" customWidth="1"/>
    <col min="28" max="28" width="14.5" style="2" customWidth="1"/>
    <col min="29" max="29" width="13.375" style="2" bestFit="1" customWidth="1"/>
    <col min="30" max="30" width="17.125" bestFit="1" customWidth="1"/>
    <col min="31" max="31" width="15.125" customWidth="1"/>
    <col min="32" max="32" width="14.125" customWidth="1"/>
    <col min="33" max="33" width="15.375" bestFit="1" customWidth="1"/>
    <col min="34" max="34" width="13.625" bestFit="1" customWidth="1"/>
    <col min="35" max="35" width="13.5" customWidth="1"/>
    <col min="36" max="36" width="14" bestFit="1" customWidth="1"/>
    <col min="37" max="37" width="13.375" bestFit="1" customWidth="1"/>
    <col min="38" max="38" width="17.125" bestFit="1" customWidth="1"/>
    <col min="41" max="41" width="15.375" bestFit="1" customWidth="1"/>
    <col min="42" max="42" width="13.625" bestFit="1" customWidth="1"/>
    <col min="43" max="43" width="12.625" bestFit="1" customWidth="1"/>
    <col min="44" max="44" width="14" bestFit="1" customWidth="1"/>
    <col min="45" max="45" width="13.375" bestFit="1" customWidth="1"/>
    <col min="46" max="46" width="12.625" bestFit="1" customWidth="1"/>
  </cols>
  <sheetData>
    <row r="1" spans="1:45" s="19" customFormat="1" ht="21" x14ac:dyDescent="0.35">
      <c r="A1" s="18"/>
      <c r="B1" s="18" t="s">
        <v>7</v>
      </c>
      <c r="C1" s="18"/>
      <c r="D1" s="18"/>
      <c r="E1" s="18"/>
      <c r="F1" s="18"/>
      <c r="G1" s="18"/>
      <c r="H1" s="18"/>
      <c r="I1" s="18"/>
      <c r="J1" s="18"/>
      <c r="K1" s="18"/>
      <c r="L1" s="18"/>
      <c r="N1" s="36"/>
      <c r="V1" s="18"/>
      <c r="W1" s="18"/>
      <c r="X1" s="18"/>
      <c r="Y1" s="18"/>
      <c r="Z1" s="18"/>
      <c r="AA1" s="18"/>
      <c r="AB1" s="18"/>
      <c r="AC1" s="18"/>
    </row>
    <row r="2" spans="1:45" s="19" customFormat="1" ht="21" x14ac:dyDescent="0.35">
      <c r="A2" s="18"/>
      <c r="B2" s="32" t="s">
        <v>2</v>
      </c>
      <c r="C2" s="33"/>
      <c r="D2" s="18" t="s">
        <v>35</v>
      </c>
      <c r="E2" s="18"/>
      <c r="F2" s="18"/>
      <c r="G2" s="18"/>
      <c r="H2" s="18"/>
      <c r="I2" s="18"/>
      <c r="J2" s="18"/>
      <c r="K2" s="18"/>
      <c r="L2" s="18"/>
      <c r="N2" s="36"/>
      <c r="V2" s="18"/>
      <c r="W2" s="18"/>
      <c r="X2" s="18"/>
      <c r="Y2" s="18"/>
      <c r="Z2" s="18"/>
      <c r="AA2" s="18"/>
      <c r="AB2" s="18"/>
      <c r="AC2" s="18"/>
    </row>
    <row r="3" spans="1:45" ht="21" x14ac:dyDescent="0.25">
      <c r="C3" s="6"/>
      <c r="F3" s="10"/>
      <c r="W3" s="55"/>
      <c r="Z3" s="55"/>
      <c r="AF3" s="9"/>
    </row>
    <row r="4" spans="1:45" ht="21" x14ac:dyDescent="0.25">
      <c r="B4" s="2" t="s">
        <v>41</v>
      </c>
      <c r="C4" s="11"/>
      <c r="D4" s="6">
        <f>ROW()</f>
        <v>4</v>
      </c>
      <c r="E4" s="34" t="s">
        <v>51</v>
      </c>
      <c r="F4" s="6">
        <v>1</v>
      </c>
      <c r="G4" s="6" t="s">
        <v>32</v>
      </c>
      <c r="H4" s="6" t="s">
        <v>33</v>
      </c>
      <c r="I4" s="6" t="s">
        <v>34</v>
      </c>
      <c r="J4" s="6">
        <v>4</v>
      </c>
      <c r="K4" s="6" t="s">
        <v>63</v>
      </c>
      <c r="L4" s="6" t="s">
        <v>64</v>
      </c>
      <c r="M4" s="6">
        <v>5</v>
      </c>
      <c r="O4" s="6"/>
      <c r="W4" s="55"/>
      <c r="Z4" s="55"/>
    </row>
    <row r="5" spans="1:45" x14ac:dyDescent="0.25">
      <c r="B5" s="6" t="s">
        <v>8</v>
      </c>
      <c r="C5" s="6" t="s">
        <v>9</v>
      </c>
      <c r="D5" s="12" t="s">
        <v>10</v>
      </c>
      <c r="E5" s="30" t="s">
        <v>75</v>
      </c>
      <c r="F5" s="30" t="s">
        <v>11</v>
      </c>
      <c r="G5" s="30" t="s">
        <v>12</v>
      </c>
      <c r="H5" s="30" t="s">
        <v>13</v>
      </c>
      <c r="I5" s="27" t="s">
        <v>14</v>
      </c>
      <c r="J5" s="28" t="s">
        <v>36</v>
      </c>
      <c r="K5" s="28" t="s">
        <v>37</v>
      </c>
      <c r="L5" s="28" t="s">
        <v>38</v>
      </c>
      <c r="M5" s="31" t="s">
        <v>15</v>
      </c>
      <c r="N5" s="76"/>
      <c r="O5" s="9"/>
      <c r="W5" s="56"/>
      <c r="Z5" s="6"/>
      <c r="AE5" s="2"/>
      <c r="AF5" s="11"/>
      <c r="AG5" s="11"/>
      <c r="AH5" s="66"/>
      <c r="AI5" s="2"/>
      <c r="AP5" s="6"/>
      <c r="AQ5" s="6"/>
      <c r="AR5" s="6"/>
      <c r="AS5" s="6"/>
    </row>
    <row r="6" spans="1:45" x14ac:dyDescent="0.25">
      <c r="B6" s="6"/>
      <c r="C6" s="6">
        <v>2018</v>
      </c>
      <c r="D6" s="6" t="s">
        <v>4</v>
      </c>
      <c r="E6" s="38"/>
      <c r="F6"/>
      <c r="G6" s="17"/>
      <c r="H6" s="67"/>
      <c r="I6" s="68"/>
      <c r="J6" s="38"/>
      <c r="K6" s="17"/>
      <c r="L6" s="17"/>
      <c r="M6" s="17"/>
      <c r="N6"/>
      <c r="O6" s="3"/>
      <c r="P6" s="77"/>
      <c r="Q6" s="76"/>
      <c r="R6" s="76"/>
      <c r="S6" s="76"/>
      <c r="T6" s="76"/>
      <c r="U6" s="76"/>
      <c r="V6" s="78"/>
      <c r="W6" s="79"/>
      <c r="X6" s="6"/>
      <c r="Y6" s="6"/>
      <c r="Z6" s="6"/>
      <c r="AA6" s="6"/>
      <c r="AB6" s="6"/>
      <c r="AE6" s="2"/>
      <c r="AF6" s="3"/>
      <c r="AG6" s="3"/>
      <c r="AH6" s="3"/>
      <c r="AI6" s="11"/>
      <c r="AJ6" s="11"/>
      <c r="AK6" s="2"/>
      <c r="AL6" s="2"/>
      <c r="AN6" s="6"/>
      <c r="AO6" s="6"/>
      <c r="AP6" s="3"/>
    </row>
    <row r="7" spans="1:45" x14ac:dyDescent="0.25">
      <c r="B7" s="6"/>
      <c r="C7" s="6">
        <v>2018</v>
      </c>
      <c r="D7" s="6" t="s">
        <v>5</v>
      </c>
      <c r="E7" s="38"/>
      <c r="F7"/>
      <c r="G7" s="17"/>
      <c r="H7" s="68"/>
      <c r="I7" s="68"/>
      <c r="J7" s="38"/>
      <c r="K7" s="17"/>
      <c r="L7" s="17"/>
      <c r="M7" s="17"/>
      <c r="N7"/>
      <c r="O7" s="3"/>
      <c r="V7" s="79"/>
      <c r="W7" s="50"/>
      <c r="X7" s="50"/>
      <c r="Y7" s="50"/>
      <c r="AA7" s="50"/>
      <c r="AC7" s="11"/>
      <c r="AD7" s="1"/>
      <c r="AE7" s="2"/>
      <c r="AF7" s="3"/>
      <c r="AG7" s="3"/>
      <c r="AH7" s="3"/>
      <c r="AI7" s="3"/>
      <c r="AJ7" s="11"/>
      <c r="AK7" s="11"/>
      <c r="AL7" s="11"/>
      <c r="AN7" s="6"/>
      <c r="AO7" s="6"/>
      <c r="AP7" s="3"/>
    </row>
    <row r="8" spans="1:45" x14ac:dyDescent="0.25">
      <c r="B8" s="6"/>
      <c r="C8" s="6">
        <v>2018</v>
      </c>
      <c r="D8" s="6" t="s">
        <v>6</v>
      </c>
      <c r="E8" s="38"/>
      <c r="F8" s="3"/>
      <c r="G8" s="17"/>
      <c r="H8" s="68"/>
      <c r="I8" s="68"/>
      <c r="J8" s="38"/>
      <c r="K8" s="17"/>
      <c r="L8" s="17"/>
      <c r="M8" s="17"/>
      <c r="N8"/>
      <c r="O8" s="3"/>
      <c r="V8" s="79"/>
      <c r="W8" s="50"/>
      <c r="X8" s="50"/>
      <c r="Y8" s="50"/>
      <c r="AA8" s="50"/>
      <c r="AC8" s="26"/>
      <c r="AE8" s="2"/>
      <c r="AF8" s="3"/>
      <c r="AG8" s="3"/>
      <c r="AH8" s="3"/>
      <c r="AI8" s="2"/>
      <c r="AJ8" s="3"/>
      <c r="AK8" s="3"/>
      <c r="AL8" s="3"/>
      <c r="AN8" s="6"/>
      <c r="AO8" s="6"/>
      <c r="AP8" s="3"/>
    </row>
    <row r="9" spans="1:45" x14ac:dyDescent="0.25">
      <c r="B9" s="6"/>
      <c r="C9" s="6">
        <v>2018</v>
      </c>
      <c r="D9" s="6" t="s">
        <v>3</v>
      </c>
      <c r="E9" s="38"/>
      <c r="F9" s="3"/>
      <c r="G9" s="17"/>
      <c r="H9" s="68"/>
      <c r="I9" s="68"/>
      <c r="J9" s="38"/>
      <c r="K9" s="17"/>
      <c r="L9" s="17"/>
      <c r="M9" s="17"/>
      <c r="N9"/>
      <c r="O9" s="3"/>
      <c r="V9" s="79"/>
      <c r="W9" s="50"/>
      <c r="X9" s="50"/>
      <c r="Y9" s="50"/>
      <c r="AA9" s="50"/>
      <c r="AC9" s="6"/>
      <c r="AE9" s="2"/>
      <c r="AF9" s="3"/>
      <c r="AG9" s="3"/>
      <c r="AH9" s="3"/>
      <c r="AI9" s="2"/>
      <c r="AJ9" s="3"/>
      <c r="AK9" s="3"/>
      <c r="AL9" s="3"/>
      <c r="AN9" s="6"/>
      <c r="AO9" s="6"/>
      <c r="AP9" s="3"/>
    </row>
    <row r="10" spans="1:45" x14ac:dyDescent="0.25">
      <c r="B10" s="6"/>
      <c r="C10" s="6">
        <v>2019</v>
      </c>
      <c r="D10" s="6" t="s">
        <v>4</v>
      </c>
      <c r="E10" s="38"/>
      <c r="F10" s="3"/>
      <c r="G10" s="17"/>
      <c r="H10" s="68"/>
      <c r="I10" s="68"/>
      <c r="J10" s="38"/>
      <c r="K10" s="17"/>
      <c r="L10" s="17"/>
      <c r="M10" s="17"/>
      <c r="O10" s="3"/>
      <c r="V10" s="79"/>
      <c r="W10" s="50"/>
      <c r="X10" s="50"/>
      <c r="Y10" s="50"/>
      <c r="AA10" s="50"/>
      <c r="AC10"/>
      <c r="AD10" s="1"/>
      <c r="AE10" s="2"/>
      <c r="AF10" s="3"/>
      <c r="AG10" s="3"/>
      <c r="AH10" s="3"/>
      <c r="AI10" s="2"/>
      <c r="AJ10" s="3"/>
      <c r="AK10" s="3"/>
      <c r="AL10" s="3"/>
      <c r="AN10" s="6"/>
      <c r="AO10" s="6"/>
      <c r="AP10" s="3"/>
    </row>
    <row r="11" spans="1:45" x14ac:dyDescent="0.25">
      <c r="B11" s="6"/>
      <c r="C11" s="6">
        <v>2019</v>
      </c>
      <c r="D11" s="6" t="s">
        <v>5</v>
      </c>
      <c r="E11" s="38"/>
      <c r="F11" s="3"/>
      <c r="G11" s="17"/>
      <c r="H11" s="68"/>
      <c r="I11" s="68"/>
      <c r="J11" s="38"/>
      <c r="K11" s="17"/>
      <c r="L11" s="17"/>
      <c r="M11" s="17"/>
      <c r="O11" s="3"/>
      <c r="V11" s="79"/>
      <c r="W11" s="50"/>
      <c r="X11" s="50"/>
      <c r="Y11" s="50"/>
      <c r="AA11" s="50"/>
      <c r="AC11"/>
      <c r="AD11" s="1"/>
      <c r="AE11" s="2"/>
      <c r="AF11" s="3"/>
      <c r="AG11" s="3"/>
      <c r="AH11" s="3"/>
      <c r="AI11" s="2"/>
      <c r="AJ11" s="3"/>
      <c r="AK11" s="3"/>
      <c r="AL11" s="3"/>
      <c r="AN11" s="6"/>
      <c r="AO11" s="6"/>
      <c r="AP11" s="3"/>
    </row>
    <row r="12" spans="1:45" x14ac:dyDescent="0.25">
      <c r="B12" s="6"/>
      <c r="C12" s="6">
        <v>2019</v>
      </c>
      <c r="D12" s="6" t="s">
        <v>6</v>
      </c>
      <c r="E12" s="38"/>
      <c r="F12" s="3"/>
      <c r="G12" s="17"/>
      <c r="H12" s="68"/>
      <c r="I12" s="68"/>
      <c r="J12" s="38"/>
      <c r="K12" s="17"/>
      <c r="L12" s="17"/>
      <c r="M12" s="17"/>
      <c r="O12" s="3"/>
      <c r="V12" s="79"/>
      <c r="W12" s="50"/>
      <c r="X12" s="50"/>
      <c r="Y12" s="50"/>
      <c r="AA12" s="50"/>
      <c r="AC12" s="6"/>
      <c r="AD12" s="1"/>
      <c r="AE12" s="2"/>
      <c r="AF12" s="3"/>
      <c r="AG12" s="3"/>
      <c r="AH12" s="3"/>
      <c r="AI12" s="2"/>
      <c r="AJ12" s="3"/>
      <c r="AK12" s="3"/>
      <c r="AL12" s="3"/>
      <c r="AN12" s="6"/>
      <c r="AO12" s="6"/>
      <c r="AP12" s="3"/>
    </row>
    <row r="13" spans="1:45" x14ac:dyDescent="0.25">
      <c r="B13" s="6"/>
      <c r="C13" s="6">
        <v>2019</v>
      </c>
      <c r="D13" s="6" t="s">
        <v>3</v>
      </c>
      <c r="E13" s="38"/>
      <c r="F13" s="3"/>
      <c r="G13" s="17"/>
      <c r="H13" s="68"/>
      <c r="I13" s="68"/>
      <c r="J13" s="38"/>
      <c r="K13" s="17"/>
      <c r="L13" s="17"/>
      <c r="M13" s="17"/>
      <c r="O13" s="3"/>
      <c r="V13" s="79"/>
      <c r="W13" s="50"/>
      <c r="X13" s="50"/>
      <c r="Y13" s="50"/>
      <c r="AA13" s="50"/>
      <c r="AC13" s="6"/>
      <c r="AD13" s="1"/>
      <c r="AE13" s="2"/>
      <c r="AF13" s="3"/>
      <c r="AG13" s="3"/>
      <c r="AH13" s="3"/>
      <c r="AI13" s="2"/>
      <c r="AJ13" s="3"/>
      <c r="AK13" s="3"/>
      <c r="AL13" s="3"/>
      <c r="AN13" s="6"/>
      <c r="AO13" s="6"/>
      <c r="AP13" s="3"/>
    </row>
    <row r="14" spans="1:45" x14ac:dyDescent="0.25">
      <c r="B14" s="6"/>
      <c r="C14" s="6">
        <v>2020</v>
      </c>
      <c r="D14" s="6" t="s">
        <v>4</v>
      </c>
      <c r="E14" s="38"/>
      <c r="F14" s="3"/>
      <c r="G14" s="17"/>
      <c r="H14" s="68"/>
      <c r="I14" s="68"/>
      <c r="J14" s="38"/>
      <c r="K14" s="17"/>
      <c r="L14" s="17"/>
      <c r="M14" s="17"/>
      <c r="O14" s="3"/>
      <c r="V14" s="79"/>
      <c r="W14" s="50"/>
      <c r="X14" s="50"/>
      <c r="Y14" s="50"/>
      <c r="AA14" s="50"/>
      <c r="AC14" s="6"/>
      <c r="AD14" s="1"/>
      <c r="AE14" s="2"/>
      <c r="AF14" s="3"/>
      <c r="AG14" s="3"/>
      <c r="AH14" s="3"/>
      <c r="AI14" s="2"/>
      <c r="AJ14" s="3"/>
      <c r="AK14" s="3"/>
      <c r="AL14" s="3"/>
      <c r="AN14" s="6"/>
      <c r="AO14" s="6"/>
      <c r="AP14" s="3"/>
    </row>
    <row r="15" spans="1:45" x14ac:dyDescent="0.25">
      <c r="B15" s="6"/>
      <c r="C15" s="6">
        <v>2020</v>
      </c>
      <c r="D15" s="6" t="s">
        <v>5</v>
      </c>
      <c r="E15" s="38"/>
      <c r="F15" s="3"/>
      <c r="G15" s="17"/>
      <c r="H15" s="68"/>
      <c r="I15" s="68"/>
      <c r="J15" s="38"/>
      <c r="K15" s="17"/>
      <c r="L15" s="17"/>
      <c r="M15" s="17"/>
      <c r="O15" s="3"/>
      <c r="V15" s="79"/>
      <c r="W15" s="78"/>
      <c r="X15" s="50"/>
      <c r="Y15" s="50"/>
      <c r="AA15" s="50"/>
      <c r="AC15" s="6"/>
      <c r="AD15" s="1"/>
      <c r="AE15" s="2"/>
      <c r="AF15" s="3"/>
      <c r="AG15" s="3"/>
      <c r="AH15" s="3"/>
      <c r="AI15" s="2"/>
      <c r="AJ15" s="3"/>
      <c r="AK15" s="3"/>
      <c r="AL15" s="3"/>
      <c r="AN15" s="6"/>
      <c r="AO15" s="6"/>
      <c r="AP15" s="3"/>
    </row>
    <row r="16" spans="1:45" x14ac:dyDescent="0.25">
      <c r="B16" s="6"/>
      <c r="C16" s="6">
        <v>2020</v>
      </c>
      <c r="D16" s="6" t="s">
        <v>6</v>
      </c>
      <c r="E16" s="38"/>
      <c r="F16" s="3"/>
      <c r="G16" s="17"/>
      <c r="H16" s="68"/>
      <c r="I16" s="68"/>
      <c r="J16" s="38"/>
      <c r="K16" s="17"/>
      <c r="L16" s="17"/>
      <c r="M16" s="17"/>
      <c r="O16" s="3"/>
      <c r="V16" s="79"/>
      <c r="W16" s="78"/>
      <c r="X16" s="50"/>
      <c r="Y16" s="50"/>
      <c r="AA16" s="50"/>
      <c r="AC16" s="6"/>
      <c r="AD16" s="1"/>
      <c r="AE16" s="2"/>
      <c r="AF16" s="3"/>
      <c r="AG16" s="3"/>
      <c r="AH16" s="3"/>
      <c r="AI16" s="2"/>
      <c r="AJ16" s="3"/>
      <c r="AK16" s="3"/>
      <c r="AL16" s="3"/>
      <c r="AN16" s="6"/>
      <c r="AO16" s="6"/>
      <c r="AP16" s="3"/>
    </row>
    <row r="17" spans="2:45" x14ac:dyDescent="0.25">
      <c r="B17" s="6"/>
      <c r="C17" s="6">
        <v>2020</v>
      </c>
      <c r="D17" s="6" t="s">
        <v>3</v>
      </c>
      <c r="E17" s="38"/>
      <c r="F17" s="3"/>
      <c r="G17" s="17"/>
      <c r="H17" s="68"/>
      <c r="I17" s="68"/>
      <c r="J17" s="38"/>
      <c r="K17" s="17"/>
      <c r="L17" s="17"/>
      <c r="M17" s="17"/>
      <c r="O17" s="3"/>
      <c r="V17" s="79"/>
      <c r="W17" s="78"/>
      <c r="X17" s="50"/>
      <c r="Y17" s="50"/>
      <c r="AA17" s="50"/>
      <c r="AC17" s="6"/>
      <c r="AD17" s="1"/>
      <c r="AE17" s="2"/>
      <c r="AF17" s="3"/>
      <c r="AG17" s="3"/>
      <c r="AH17" s="3"/>
      <c r="AI17" s="2"/>
      <c r="AJ17" s="3"/>
      <c r="AK17" s="3"/>
      <c r="AL17" s="3"/>
      <c r="AN17" s="6"/>
      <c r="AO17" s="6"/>
      <c r="AP17" s="3"/>
      <c r="AQ17" s="3"/>
    </row>
    <row r="18" spans="2:45" x14ac:dyDescent="0.25">
      <c r="B18" s="6"/>
      <c r="C18" s="6">
        <v>2021</v>
      </c>
      <c r="D18" s="6" t="s">
        <v>4</v>
      </c>
      <c r="E18" s="38"/>
      <c r="F18" s="3"/>
      <c r="G18" s="17"/>
      <c r="H18" s="68"/>
      <c r="I18" s="68"/>
      <c r="J18" s="38"/>
      <c r="K18" s="17"/>
      <c r="L18" s="17"/>
      <c r="M18" s="17"/>
      <c r="O18" s="3"/>
      <c r="V18" s="79"/>
      <c r="W18" s="78"/>
      <c r="X18" s="50"/>
      <c r="Y18" s="50"/>
      <c r="Z18" s="50"/>
      <c r="AA18" s="50"/>
      <c r="AC18" s="6"/>
      <c r="AD18" s="1"/>
      <c r="AE18" s="2"/>
      <c r="AF18" s="3"/>
      <c r="AG18" s="3"/>
      <c r="AH18" s="3"/>
      <c r="AI18" s="2"/>
      <c r="AJ18" s="3"/>
      <c r="AK18" s="3"/>
      <c r="AL18" s="3"/>
      <c r="AN18" s="6"/>
      <c r="AO18" s="6"/>
      <c r="AP18" s="3"/>
      <c r="AQ18" s="3"/>
    </row>
    <row r="19" spans="2:45" x14ac:dyDescent="0.25">
      <c r="B19" s="6"/>
      <c r="C19" s="6">
        <v>2021</v>
      </c>
      <c r="D19" s="6" t="s">
        <v>5</v>
      </c>
      <c r="E19" s="38"/>
      <c r="F19" s="3"/>
      <c r="G19" s="17"/>
      <c r="H19" s="68"/>
      <c r="I19" s="68"/>
      <c r="J19" s="38"/>
      <c r="K19" s="17"/>
      <c r="L19" s="17"/>
      <c r="M19" s="17"/>
      <c r="V19" s="79"/>
      <c r="W19" s="78"/>
      <c r="X19" s="50"/>
      <c r="Y19" s="50"/>
      <c r="Z19" s="50"/>
      <c r="AA19" s="50"/>
      <c r="AC19" s="6"/>
      <c r="AD19" s="1"/>
      <c r="AE19" s="2"/>
      <c r="AF19" s="3"/>
      <c r="AG19" s="3"/>
      <c r="AH19" s="3"/>
      <c r="AI19" s="2"/>
      <c r="AJ19" s="3"/>
      <c r="AK19" s="3"/>
      <c r="AL19" s="3"/>
      <c r="AN19" s="6"/>
      <c r="AO19" s="6"/>
      <c r="AP19" s="3"/>
      <c r="AQ19" s="3"/>
    </row>
    <row r="20" spans="2:45" x14ac:dyDescent="0.25">
      <c r="B20" s="6"/>
      <c r="C20" s="6">
        <v>2021</v>
      </c>
      <c r="D20" s="6" t="s">
        <v>6</v>
      </c>
      <c r="E20" s="38"/>
      <c r="F20" s="3"/>
      <c r="G20" s="17"/>
      <c r="H20" s="68"/>
      <c r="I20" s="68"/>
      <c r="J20" s="38"/>
      <c r="K20" s="17"/>
      <c r="L20" s="17"/>
      <c r="M20" s="17"/>
      <c r="V20" s="79"/>
      <c r="W20" s="78"/>
      <c r="X20" s="50"/>
      <c r="Y20" s="50"/>
      <c r="Z20" s="50"/>
      <c r="AA20" s="50"/>
      <c r="AC20" s="6"/>
      <c r="AE20" s="2"/>
      <c r="AF20" s="3"/>
      <c r="AG20" s="3"/>
      <c r="AH20" s="3"/>
      <c r="AI20" s="2"/>
      <c r="AJ20" s="3"/>
      <c r="AK20" s="3"/>
      <c r="AL20" s="3"/>
      <c r="AN20" s="6"/>
      <c r="AO20" s="6"/>
      <c r="AP20" s="3"/>
      <c r="AQ20" s="3"/>
    </row>
    <row r="21" spans="2:45" x14ac:dyDescent="0.25">
      <c r="B21" s="6"/>
      <c r="C21" s="6">
        <v>2021</v>
      </c>
      <c r="D21" s="6" t="s">
        <v>3</v>
      </c>
      <c r="E21" s="38"/>
      <c r="F21" s="3"/>
      <c r="G21" s="17"/>
      <c r="H21" s="68"/>
      <c r="I21" s="68"/>
      <c r="J21" s="38"/>
      <c r="K21" s="17"/>
      <c r="L21" s="17"/>
      <c r="M21" s="17"/>
      <c r="O21" s="3"/>
      <c r="V21" s="79"/>
      <c r="W21" s="78"/>
      <c r="X21" s="50"/>
      <c r="Y21" s="50"/>
      <c r="Z21" s="50"/>
      <c r="AA21" s="50"/>
      <c r="AC21" s="6"/>
      <c r="AE21" s="2"/>
      <c r="AF21" s="3"/>
      <c r="AG21" s="3"/>
      <c r="AH21" s="3"/>
      <c r="AI21" s="2"/>
      <c r="AJ21" s="3"/>
      <c r="AK21" s="3"/>
      <c r="AL21" s="3"/>
      <c r="AN21" s="6"/>
      <c r="AO21" s="6"/>
      <c r="AP21" s="3"/>
      <c r="AQ21" s="3"/>
    </row>
    <row r="22" spans="2:45" x14ac:dyDescent="0.25">
      <c r="B22" s="6">
        <v>1</v>
      </c>
      <c r="C22" s="6">
        <v>2022</v>
      </c>
      <c r="D22" s="6" t="s">
        <v>4</v>
      </c>
      <c r="E22" s="38"/>
      <c r="F22" s="3"/>
      <c r="G22" s="17"/>
      <c r="H22" s="68"/>
      <c r="I22" s="68"/>
      <c r="J22" s="38"/>
      <c r="K22" s="17"/>
      <c r="L22" s="17"/>
      <c r="M22" s="17"/>
      <c r="O22" s="3"/>
      <c r="V22" s="79"/>
      <c r="W22" s="78"/>
      <c r="X22" s="50"/>
      <c r="Y22" s="50"/>
      <c r="Z22" s="50"/>
      <c r="AA22" s="50"/>
      <c r="AC22"/>
      <c r="AD22" s="1"/>
      <c r="AE22" s="2"/>
      <c r="AF22" s="3"/>
      <c r="AG22" s="3"/>
      <c r="AH22" s="3"/>
      <c r="AI22" s="2"/>
      <c r="AJ22" s="3"/>
      <c r="AK22" s="3"/>
      <c r="AL22" s="3"/>
      <c r="AN22" s="6"/>
      <c r="AO22" s="6"/>
      <c r="AP22" s="3"/>
      <c r="AQ22" s="3"/>
    </row>
    <row r="23" spans="2:45" x14ac:dyDescent="0.25">
      <c r="B23" s="6">
        <v>2</v>
      </c>
      <c r="C23" s="6">
        <v>2022</v>
      </c>
      <c r="D23" s="6" t="s">
        <v>5</v>
      </c>
      <c r="E23" s="38"/>
      <c r="F23" s="3"/>
      <c r="G23" s="17"/>
      <c r="H23" s="68"/>
      <c r="I23" s="68"/>
      <c r="J23" s="38"/>
      <c r="K23" s="17"/>
      <c r="L23" s="17"/>
      <c r="M23" s="17"/>
      <c r="V23" s="79"/>
      <c r="W23" s="78"/>
      <c r="X23" s="50"/>
      <c r="Y23" s="50"/>
      <c r="Z23" s="50"/>
      <c r="AA23" s="50"/>
      <c r="AC23"/>
      <c r="AE23" s="2"/>
      <c r="AF23" s="3"/>
      <c r="AG23" s="3"/>
      <c r="AH23" s="3"/>
      <c r="AI23" s="2"/>
      <c r="AJ23" s="3"/>
      <c r="AK23" s="3"/>
      <c r="AL23" s="3"/>
      <c r="AN23" s="6"/>
      <c r="AO23" s="6"/>
      <c r="AP23" s="3"/>
      <c r="AQ23" s="3"/>
    </row>
    <row r="24" spans="2:45" x14ac:dyDescent="0.25">
      <c r="B24" s="6">
        <v>3</v>
      </c>
      <c r="C24" s="6">
        <v>2022</v>
      </c>
      <c r="D24" s="6" t="s">
        <v>6</v>
      </c>
      <c r="E24" s="38"/>
      <c r="F24" s="3"/>
      <c r="G24" s="17"/>
      <c r="H24" s="68"/>
      <c r="I24" s="68"/>
      <c r="J24" s="38"/>
      <c r="K24" s="17"/>
      <c r="L24" s="17"/>
      <c r="M24" s="17"/>
      <c r="V24" s="79"/>
      <c r="W24" s="78"/>
      <c r="X24" s="50"/>
      <c r="Y24" s="50"/>
      <c r="Z24" s="50"/>
      <c r="AA24" s="50"/>
      <c r="AC24" s="6"/>
      <c r="AE24" s="2"/>
      <c r="AF24" s="3"/>
      <c r="AG24" s="3"/>
      <c r="AH24" s="3"/>
      <c r="AI24" s="2"/>
      <c r="AJ24" s="3"/>
      <c r="AK24" s="3"/>
      <c r="AL24" s="3"/>
      <c r="AN24" s="6"/>
      <c r="AO24" s="6"/>
      <c r="AP24" s="3"/>
      <c r="AQ24" s="3"/>
    </row>
    <row r="25" spans="2:45" x14ac:dyDescent="0.25">
      <c r="B25" s="6">
        <v>4</v>
      </c>
      <c r="C25" s="6">
        <v>2022</v>
      </c>
      <c r="D25" s="6" t="s">
        <v>3</v>
      </c>
      <c r="E25" s="38"/>
      <c r="F25" s="3"/>
      <c r="G25" s="17"/>
      <c r="H25" s="68"/>
      <c r="I25" s="68"/>
      <c r="J25" s="38"/>
      <c r="K25" s="17"/>
      <c r="L25" s="17"/>
      <c r="M25" s="17"/>
      <c r="V25" s="79"/>
      <c r="W25" s="78"/>
      <c r="X25" s="50"/>
      <c r="Y25" s="50"/>
      <c r="Z25" s="50"/>
      <c r="AA25" s="50"/>
      <c r="AC25"/>
      <c r="AD25" s="1"/>
      <c r="AE25" s="2"/>
      <c r="AF25" s="3"/>
      <c r="AG25" s="3"/>
      <c r="AH25" s="3"/>
      <c r="AI25" s="2"/>
      <c r="AJ25" s="3"/>
      <c r="AK25" s="3"/>
      <c r="AL25" s="3"/>
      <c r="AN25" s="6"/>
      <c r="AO25" s="6"/>
      <c r="AP25" s="3"/>
      <c r="AQ25" s="3"/>
    </row>
    <row r="26" spans="2:45" x14ac:dyDescent="0.25">
      <c r="B26" s="6">
        <v>5</v>
      </c>
      <c r="C26" s="6">
        <v>2023</v>
      </c>
      <c r="D26" s="6" t="s">
        <v>4</v>
      </c>
      <c r="E26" s="38"/>
      <c r="F26" s="3"/>
      <c r="G26" s="17"/>
      <c r="H26" s="68"/>
      <c r="I26" s="68"/>
      <c r="J26" s="38"/>
      <c r="K26" s="17"/>
      <c r="L26" s="17"/>
      <c r="M26" s="17"/>
      <c r="V26" s="79"/>
      <c r="W26" s="78"/>
      <c r="X26" s="50"/>
      <c r="Y26" s="50"/>
      <c r="Z26" s="50"/>
      <c r="AA26" s="50"/>
      <c r="AC26"/>
      <c r="AE26" s="2"/>
      <c r="AF26" s="3"/>
      <c r="AG26" s="3"/>
      <c r="AH26" s="3"/>
      <c r="AI26" s="2"/>
      <c r="AJ26" s="3"/>
      <c r="AK26" s="3"/>
      <c r="AL26" s="3"/>
      <c r="AN26" s="6"/>
      <c r="AO26" s="6"/>
      <c r="AP26" s="3"/>
      <c r="AQ26" s="3"/>
    </row>
    <row r="27" spans="2:45" ht="15.95" customHeight="1" x14ac:dyDescent="0.25">
      <c r="B27" s="6">
        <v>6</v>
      </c>
      <c r="C27" s="6">
        <v>2023</v>
      </c>
      <c r="D27" s="6" t="s">
        <v>5</v>
      </c>
      <c r="E27" s="38"/>
      <c r="F27" s="3"/>
      <c r="G27" s="17"/>
      <c r="H27" s="68"/>
      <c r="I27" s="68"/>
      <c r="J27" s="38"/>
      <c r="K27" s="17"/>
      <c r="L27" s="17"/>
      <c r="M27" s="17"/>
      <c r="V27" s="79"/>
      <c r="W27" s="78"/>
      <c r="X27" s="50"/>
      <c r="Y27" s="50"/>
      <c r="Z27" s="50"/>
      <c r="AA27" s="50"/>
      <c r="AC27" s="6"/>
      <c r="AE27" s="2"/>
      <c r="AF27" s="3"/>
      <c r="AG27" s="3"/>
      <c r="AH27" s="3"/>
      <c r="AI27" s="2"/>
      <c r="AJ27" s="3"/>
      <c r="AK27" s="3"/>
      <c r="AL27" s="3"/>
      <c r="AN27" s="6"/>
      <c r="AO27" s="6"/>
      <c r="AP27" s="3"/>
      <c r="AQ27" s="3"/>
    </row>
    <row r="28" spans="2:45" x14ac:dyDescent="0.25">
      <c r="B28" s="6">
        <v>7</v>
      </c>
      <c r="C28" s="6">
        <v>2023</v>
      </c>
      <c r="D28" s="6" t="s">
        <v>6</v>
      </c>
      <c r="E28" s="38"/>
      <c r="F28" s="3"/>
      <c r="G28" s="17"/>
      <c r="H28" s="68"/>
      <c r="I28" s="68"/>
      <c r="J28" s="38"/>
      <c r="K28" s="17"/>
      <c r="L28" s="17"/>
      <c r="M28" s="17"/>
      <c r="V28" s="79"/>
      <c r="W28" s="78"/>
      <c r="X28" s="50"/>
      <c r="Y28" s="50"/>
      <c r="Z28" s="50"/>
      <c r="AA28" s="50"/>
      <c r="AC28"/>
      <c r="AD28" s="1"/>
      <c r="AE28" s="2"/>
      <c r="AF28" s="3"/>
      <c r="AG28" s="3"/>
      <c r="AH28" s="3"/>
      <c r="AI28" s="2"/>
      <c r="AJ28" s="3"/>
      <c r="AK28" s="3"/>
      <c r="AL28" s="3"/>
      <c r="AN28" s="6"/>
      <c r="AO28" s="6"/>
      <c r="AP28" s="3"/>
      <c r="AQ28" s="3"/>
    </row>
    <row r="29" spans="2:45" x14ac:dyDescent="0.25">
      <c r="B29" s="6">
        <v>8</v>
      </c>
      <c r="C29" s="6">
        <v>2023</v>
      </c>
      <c r="D29" s="6" t="s">
        <v>3</v>
      </c>
      <c r="E29" s="38"/>
      <c r="F29" s="3"/>
      <c r="G29" s="17"/>
      <c r="H29" s="68"/>
      <c r="I29" s="68"/>
      <c r="J29" s="38"/>
      <c r="K29" s="17"/>
      <c r="L29" s="17"/>
      <c r="M29" s="17"/>
      <c r="V29" s="79"/>
      <c r="W29" s="78"/>
      <c r="X29" s="50"/>
      <c r="Y29" s="50"/>
      <c r="Z29" s="50"/>
      <c r="AA29" s="50"/>
      <c r="AB29" s="5"/>
      <c r="AC29"/>
      <c r="AE29" s="2"/>
      <c r="AF29" s="3"/>
      <c r="AG29" s="3"/>
      <c r="AH29" s="3"/>
      <c r="AI29" s="2"/>
      <c r="AJ29" s="3"/>
      <c r="AK29" s="3"/>
      <c r="AL29" s="3"/>
      <c r="AN29" s="6"/>
      <c r="AO29" s="6"/>
      <c r="AP29" s="3"/>
      <c r="AQ29" s="3"/>
    </row>
    <row r="30" spans="2:45" x14ac:dyDescent="0.25">
      <c r="B30" s="6">
        <v>9</v>
      </c>
      <c r="C30" s="6">
        <v>2024</v>
      </c>
      <c r="D30" s="6" t="s">
        <v>4</v>
      </c>
      <c r="E30" s="38"/>
      <c r="F30" s="3"/>
      <c r="G30" s="17"/>
      <c r="H30" s="68"/>
      <c r="I30" s="68"/>
      <c r="J30" s="38"/>
      <c r="K30" s="17"/>
      <c r="L30" s="17"/>
      <c r="M30" s="17"/>
      <c r="V30" s="79"/>
      <c r="W30" s="50"/>
      <c r="X30" s="50"/>
      <c r="Y30" s="50"/>
      <c r="Z30" s="50"/>
      <c r="AA30" s="50"/>
      <c r="AB30" s="50"/>
      <c r="AC30" s="6"/>
      <c r="AD30" s="26"/>
      <c r="AE30" s="2"/>
      <c r="AF30" s="3"/>
      <c r="AG30" s="3"/>
      <c r="AH30" s="3"/>
      <c r="AI30" s="2"/>
      <c r="AJ30" s="3"/>
      <c r="AK30" s="3"/>
      <c r="AL30" s="3"/>
      <c r="AN30" s="6"/>
      <c r="AO30" s="6"/>
      <c r="AP30" s="3"/>
      <c r="AQ30" s="3"/>
      <c r="AR30" s="3"/>
      <c r="AS30" s="3"/>
    </row>
    <row r="31" spans="2:45" x14ac:dyDescent="0.25">
      <c r="B31" s="6">
        <v>10</v>
      </c>
      <c r="C31" s="6">
        <v>2024</v>
      </c>
      <c r="D31" s="6" t="s">
        <v>5</v>
      </c>
      <c r="E31" s="38"/>
      <c r="F31" s="3"/>
      <c r="G31" s="17"/>
      <c r="H31" s="68"/>
      <c r="I31" s="68"/>
      <c r="J31" s="38"/>
      <c r="K31" s="17"/>
      <c r="L31" s="17"/>
      <c r="M31" s="17"/>
      <c r="V31" s="79"/>
      <c r="W31" s="50"/>
      <c r="X31" s="50"/>
      <c r="Y31" s="50"/>
      <c r="Z31" s="50"/>
      <c r="AA31" s="50"/>
      <c r="AB31" s="50"/>
      <c r="AC31"/>
      <c r="AD31" s="1"/>
      <c r="AE31" s="2"/>
      <c r="AF31" s="3"/>
      <c r="AG31" s="3"/>
      <c r="AH31" s="3"/>
      <c r="AI31" s="2"/>
      <c r="AJ31" s="3"/>
      <c r="AK31" s="3"/>
      <c r="AL31" s="3"/>
      <c r="AN31" s="6"/>
      <c r="AO31" s="6"/>
      <c r="AP31" s="3"/>
      <c r="AQ31" s="3"/>
      <c r="AR31" s="51"/>
      <c r="AS31" s="51"/>
    </row>
    <row r="32" spans="2:45" x14ac:dyDescent="0.25">
      <c r="B32" s="6">
        <v>11</v>
      </c>
      <c r="C32" s="6">
        <v>2024</v>
      </c>
      <c r="D32" s="6" t="s">
        <v>6</v>
      </c>
      <c r="E32" s="38"/>
      <c r="F32" s="72"/>
      <c r="G32" s="17"/>
      <c r="H32" s="45"/>
      <c r="I32" s="45"/>
      <c r="J32" s="38"/>
      <c r="K32" s="17"/>
      <c r="L32" s="17"/>
      <c r="M32" s="17"/>
      <c r="V32" s="79"/>
      <c r="W32" s="50"/>
      <c r="X32" s="50"/>
      <c r="Y32" s="50"/>
      <c r="Z32" s="50"/>
      <c r="AA32" s="50"/>
      <c r="AB32" s="50"/>
      <c r="AC32" s="26"/>
      <c r="AD32" s="2"/>
      <c r="AE32" s="2"/>
      <c r="AF32" s="3"/>
      <c r="AG32" s="3"/>
      <c r="AH32" s="3"/>
      <c r="AI32" s="2"/>
      <c r="AJ32" s="3"/>
      <c r="AK32" s="3"/>
      <c r="AL32" s="3"/>
      <c r="AN32" s="6"/>
      <c r="AO32" s="6"/>
      <c r="AQ32" s="51"/>
      <c r="AR32" s="51"/>
      <c r="AS32" s="51"/>
    </row>
    <row r="33" spans="2:48" x14ac:dyDescent="0.25">
      <c r="B33" s="6">
        <v>12</v>
      </c>
      <c r="C33" s="6">
        <v>2024</v>
      </c>
      <c r="D33" s="6" t="s">
        <v>3</v>
      </c>
      <c r="E33" s="38"/>
      <c r="F33" s="72"/>
      <c r="G33" s="17"/>
      <c r="H33" s="45"/>
      <c r="I33" s="45"/>
      <c r="J33" s="38"/>
      <c r="K33" s="17"/>
      <c r="L33" s="17"/>
      <c r="M33" s="17"/>
      <c r="V33" s="79"/>
      <c r="W33" s="50"/>
      <c r="X33" s="50"/>
      <c r="Y33" s="50"/>
      <c r="Z33" s="50"/>
      <c r="AA33" s="50"/>
      <c r="AB33" s="50"/>
      <c r="AC33" s="6"/>
      <c r="AD33" s="2"/>
      <c r="AE33" s="2"/>
      <c r="AF33" s="3"/>
      <c r="AG33" s="3"/>
      <c r="AH33" s="3"/>
      <c r="AI33" s="2"/>
      <c r="AJ33" s="3"/>
      <c r="AK33" s="3"/>
      <c r="AL33" s="3"/>
      <c r="AN33" s="6"/>
      <c r="AO33" s="6"/>
      <c r="AQ33" s="51"/>
      <c r="AR33" s="51"/>
      <c r="AS33" s="51"/>
    </row>
    <row r="34" spans="2:48" x14ac:dyDescent="0.25">
      <c r="B34" s="6">
        <v>13</v>
      </c>
      <c r="C34" s="6">
        <v>2025</v>
      </c>
      <c r="D34" s="6" t="s">
        <v>4</v>
      </c>
      <c r="E34" s="17"/>
      <c r="F34" s="17"/>
      <c r="G34" s="17"/>
      <c r="H34" s="17"/>
      <c r="I34" s="17"/>
      <c r="J34" s="17"/>
      <c r="K34" s="17"/>
      <c r="L34" s="17"/>
      <c r="M34" s="17"/>
      <c r="V34" s="80"/>
      <c r="W34" s="50"/>
      <c r="X34" s="50"/>
      <c r="Y34" s="50"/>
      <c r="Z34" s="50"/>
      <c r="AA34" s="50"/>
      <c r="AB34" s="50"/>
      <c r="AD34" s="2"/>
      <c r="AE34" s="2"/>
      <c r="AF34" s="3"/>
      <c r="AG34" s="3"/>
      <c r="AH34" s="3"/>
      <c r="AI34" s="2"/>
      <c r="AJ34" s="3"/>
      <c r="AK34" s="3"/>
      <c r="AL34" s="3"/>
      <c r="AN34" s="6"/>
      <c r="AO34" s="6"/>
      <c r="AQ34" s="51"/>
      <c r="AR34" s="51"/>
      <c r="AS34" s="51"/>
    </row>
    <row r="35" spans="2:48" x14ac:dyDescent="0.25">
      <c r="B35" s="6">
        <v>14</v>
      </c>
      <c r="C35" s="6">
        <v>2025</v>
      </c>
      <c r="D35" s="6" t="s">
        <v>5</v>
      </c>
      <c r="E35" s="17"/>
      <c r="F35" s="17"/>
      <c r="G35" s="17"/>
      <c r="H35" s="17"/>
      <c r="I35" s="17"/>
      <c r="J35" s="17"/>
      <c r="K35" s="17"/>
      <c r="L35" s="17"/>
      <c r="M35" s="17"/>
      <c r="V35"/>
      <c r="W35"/>
      <c r="Z35" s="50"/>
      <c r="AA35" s="50"/>
      <c r="AB35" s="50"/>
      <c r="AD35" s="2"/>
      <c r="AN35" s="6"/>
      <c r="AO35" s="6"/>
      <c r="AQ35" s="51"/>
      <c r="AR35" s="51"/>
      <c r="AS35" s="51"/>
      <c r="AT35" s="3"/>
      <c r="AU35" s="3"/>
      <c r="AV35" s="3"/>
    </row>
    <row r="36" spans="2:48" x14ac:dyDescent="0.25">
      <c r="B36" s="6">
        <v>15</v>
      </c>
      <c r="C36" s="6">
        <v>2025</v>
      </c>
      <c r="D36" s="6" t="s">
        <v>6</v>
      </c>
      <c r="E36" s="17"/>
      <c r="F36" s="17"/>
      <c r="G36" s="17"/>
      <c r="H36" s="17"/>
      <c r="I36" s="17"/>
      <c r="J36" s="17"/>
      <c r="K36" s="17"/>
      <c r="L36" s="17"/>
      <c r="M36" s="17"/>
      <c r="V36"/>
      <c r="W36"/>
      <c r="Z36" s="50"/>
      <c r="AA36" s="50"/>
      <c r="AB36" s="50"/>
      <c r="AN36" s="6"/>
      <c r="AO36" s="6"/>
      <c r="AQ36" s="51"/>
      <c r="AR36" s="51"/>
      <c r="AS36" s="51"/>
    </row>
    <row r="37" spans="2:48" x14ac:dyDescent="0.25">
      <c r="B37" s="6">
        <v>16</v>
      </c>
      <c r="C37" s="6">
        <v>2025</v>
      </c>
      <c r="D37" s="6" t="s">
        <v>3</v>
      </c>
      <c r="E37" s="17"/>
      <c r="F37" s="17"/>
      <c r="G37" s="17"/>
      <c r="H37" s="17"/>
      <c r="I37" s="17"/>
      <c r="J37" s="17"/>
      <c r="K37" s="17"/>
      <c r="L37" s="17"/>
      <c r="M37" s="17"/>
      <c r="V37"/>
      <c r="W37"/>
      <c r="Z37" s="50"/>
      <c r="AA37" s="50"/>
      <c r="AB37" s="50"/>
      <c r="AN37" s="6"/>
      <c r="AO37" s="6"/>
      <c r="AQ37" s="51"/>
      <c r="AR37" s="51"/>
      <c r="AS37" s="51"/>
    </row>
    <row r="38" spans="2:48" x14ac:dyDescent="0.25">
      <c r="B38" s="6"/>
      <c r="C38" s="6"/>
      <c r="D38" s="6"/>
      <c r="E38" s="16"/>
      <c r="F38" s="8"/>
      <c r="G38" s="8"/>
      <c r="H38" s="8"/>
      <c r="I38" s="8"/>
      <c r="J38" s="8"/>
      <c r="K38" s="8"/>
      <c r="L38" s="8"/>
      <c r="M38" s="8"/>
      <c r="V38"/>
      <c r="W38"/>
      <c r="Z38" s="50"/>
      <c r="AA38" s="50"/>
      <c r="AB38" s="50"/>
    </row>
    <row r="39" spans="2:48" x14ac:dyDescent="0.25">
      <c r="B39" s="6"/>
      <c r="C39" s="6"/>
      <c r="P39" s="40"/>
      <c r="Q39" s="40"/>
      <c r="R39" s="40"/>
      <c r="S39" s="40"/>
      <c r="T39" s="40"/>
      <c r="U39" s="40"/>
      <c r="AA39" s="5"/>
    </row>
    <row r="40" spans="2:48" x14ac:dyDescent="0.25">
      <c r="B40" s="6"/>
      <c r="C40" s="6"/>
      <c r="P40" s="40"/>
      <c r="Q40" s="40"/>
      <c r="R40" s="40"/>
      <c r="S40" s="40"/>
      <c r="T40" s="40"/>
      <c r="U40" s="40"/>
      <c r="AO40" s="2"/>
      <c r="AP40" s="2"/>
      <c r="AQ40" s="11"/>
      <c r="AR40" s="11"/>
      <c r="AS40" s="11"/>
    </row>
    <row r="41" spans="2:48" x14ac:dyDescent="0.25">
      <c r="B41" s="6"/>
      <c r="C41" s="6"/>
      <c r="D41" s="6" t="s">
        <v>70</v>
      </c>
      <c r="E41" s="16">
        <f>SUM(E25:E28)</f>
        <v>0</v>
      </c>
      <c r="G41" s="8"/>
      <c r="H41" s="8"/>
      <c r="I41" s="8"/>
      <c r="J41" s="8"/>
      <c r="K41" s="8"/>
      <c r="L41" s="8"/>
      <c r="M41" s="8"/>
      <c r="P41" s="40"/>
      <c r="Q41" s="40"/>
      <c r="R41" s="40"/>
      <c r="S41" s="11"/>
      <c r="T41" s="11"/>
      <c r="U41" s="11"/>
      <c r="X41" s="11"/>
      <c r="Y41" s="11"/>
      <c r="Z41" s="11"/>
      <c r="AA41" s="5"/>
      <c r="AO41" s="56"/>
      <c r="AP41" s="2"/>
      <c r="AQ41" s="5"/>
      <c r="AR41" s="52"/>
      <c r="AS41" s="5"/>
    </row>
    <row r="42" spans="2:48" x14ac:dyDescent="0.25">
      <c r="B42" s="6"/>
      <c r="C42" s="6"/>
      <c r="D42" s="6" t="s">
        <v>76</v>
      </c>
      <c r="E42" s="16">
        <f>SUM(E29:E32)</f>
        <v>0</v>
      </c>
      <c r="F42" s="8"/>
      <c r="G42" s="8"/>
      <c r="H42" s="8"/>
      <c r="I42" s="8"/>
      <c r="J42" s="8"/>
      <c r="K42" s="8"/>
      <c r="L42" s="8"/>
      <c r="M42" s="8"/>
      <c r="P42" s="40"/>
      <c r="R42" s="2"/>
      <c r="S42" s="3"/>
      <c r="T42" s="3"/>
      <c r="U42" s="3"/>
      <c r="V42" s="56"/>
      <c r="X42" s="5"/>
      <c r="Y42" s="52"/>
      <c r="Z42" s="5"/>
      <c r="AO42" s="57"/>
      <c r="AP42" s="2"/>
      <c r="AQ42" s="5"/>
      <c r="AR42" s="52"/>
      <c r="AS42" s="5"/>
    </row>
    <row r="43" spans="2:48" x14ac:dyDescent="0.25">
      <c r="B43" s="6"/>
      <c r="D43" s="6" t="s">
        <v>77</v>
      </c>
      <c r="E43" s="16"/>
      <c r="F43" s="8">
        <f>SUM(F34:F36)+E33</f>
        <v>0</v>
      </c>
      <c r="G43" s="8">
        <f>SUM(G34:G36)+E33</f>
        <v>0</v>
      </c>
      <c r="H43" s="8">
        <f>SUM(H34:H36)+E33</f>
        <v>0</v>
      </c>
      <c r="I43" s="8">
        <f>SUM(I34:I36)+E33</f>
        <v>0</v>
      </c>
      <c r="J43" s="8"/>
      <c r="K43" s="8"/>
      <c r="L43" s="8"/>
      <c r="M43" s="8"/>
      <c r="P43" s="39"/>
      <c r="R43" s="2"/>
      <c r="S43" s="3"/>
      <c r="T43" s="3"/>
      <c r="U43" s="3"/>
      <c r="V43" s="57"/>
      <c r="X43" s="5"/>
      <c r="Y43" s="52"/>
      <c r="Z43" s="5"/>
      <c r="AO43" s="2"/>
      <c r="AP43" s="2"/>
      <c r="AQ43" s="5"/>
      <c r="AR43" s="52"/>
      <c r="AS43" s="5"/>
    </row>
    <row r="44" spans="2:48" x14ac:dyDescent="0.25">
      <c r="B44" s="6"/>
      <c r="C44" s="6"/>
      <c r="D44" s="6"/>
      <c r="E44" s="49"/>
      <c r="F44" s="49"/>
      <c r="G44" s="49"/>
      <c r="H44" s="49"/>
      <c r="I44" s="49"/>
      <c r="J44" s="49"/>
      <c r="K44" s="49"/>
      <c r="L44" s="49"/>
      <c r="M44" s="49"/>
      <c r="N44" s="35"/>
      <c r="R44" s="2"/>
      <c r="S44" s="3"/>
      <c r="T44" s="3"/>
      <c r="U44" s="3"/>
      <c r="X44" s="5"/>
      <c r="Y44" s="52"/>
      <c r="Z44" s="5"/>
    </row>
    <row r="45" spans="2:48" x14ac:dyDescent="0.25">
      <c r="B45" s="6"/>
      <c r="C45" s="6"/>
      <c r="D45" s="6"/>
      <c r="E45" s="49"/>
      <c r="F45" s="49"/>
      <c r="G45" s="49"/>
      <c r="H45" s="49"/>
      <c r="I45" s="49"/>
      <c r="J45" s="49"/>
      <c r="K45" s="49"/>
      <c r="L45" s="49"/>
      <c r="M45" s="49"/>
      <c r="N45" s="35"/>
    </row>
    <row r="46" spans="2:48" x14ac:dyDescent="0.25">
      <c r="B46" s="6"/>
      <c r="C46" s="6" t="s">
        <v>36</v>
      </c>
      <c r="D46" s="6"/>
      <c r="E46" s="49"/>
      <c r="F46" s="49"/>
      <c r="G46" s="49"/>
      <c r="H46" s="49"/>
      <c r="I46" s="49"/>
      <c r="J46" s="49"/>
      <c r="K46" s="49"/>
      <c r="L46" s="49"/>
      <c r="M46" s="49"/>
      <c r="N46" s="35"/>
    </row>
    <row r="47" spans="2:48" x14ac:dyDescent="0.25">
      <c r="B47"/>
      <c r="C47"/>
      <c r="D47"/>
      <c r="E47"/>
      <c r="F47"/>
      <c r="G47"/>
      <c r="H47"/>
      <c r="I47"/>
      <c r="J47"/>
      <c r="K47"/>
      <c r="L47"/>
      <c r="N47" s="35"/>
    </row>
    <row r="48" spans="2:48" x14ac:dyDescent="0.25">
      <c r="B48" s="75"/>
      <c r="C48" s="46">
        <v>2025</v>
      </c>
      <c r="D48" s="46" t="s">
        <v>56</v>
      </c>
      <c r="E48" s="47"/>
      <c r="F48" s="48"/>
      <c r="G48" s="48"/>
      <c r="H48" s="48"/>
      <c r="I48" s="48"/>
      <c r="J48" s="47"/>
      <c r="K48" s="47"/>
      <c r="L48" s="47"/>
      <c r="M48" s="47"/>
      <c r="N48" s="35"/>
    </row>
    <row r="49" spans="1:43" x14ac:dyDescent="0.25">
      <c r="B49" s="21"/>
      <c r="C49" s="25">
        <v>2025</v>
      </c>
      <c r="D49" s="25" t="s">
        <v>57</v>
      </c>
      <c r="E49" s="23"/>
      <c r="F49" s="24"/>
      <c r="G49" s="24"/>
      <c r="H49" s="24"/>
      <c r="I49" s="24"/>
      <c r="J49" s="23"/>
      <c r="K49" s="23"/>
      <c r="L49" s="23"/>
      <c r="M49" s="23"/>
      <c r="N49" s="35"/>
    </row>
    <row r="50" spans="1:43" s="26" customFormat="1" x14ac:dyDescent="0.25">
      <c r="A50" s="2"/>
      <c r="B50" s="20">
        <v>13</v>
      </c>
      <c r="C50" s="25">
        <v>2025</v>
      </c>
      <c r="D50" s="20" t="s">
        <v>4</v>
      </c>
      <c r="E50" s="22"/>
      <c r="F50" s="24"/>
      <c r="G50" s="24"/>
      <c r="H50" s="24"/>
      <c r="I50" s="24"/>
      <c r="J50" s="22"/>
      <c r="K50" s="22"/>
      <c r="L50" s="22"/>
      <c r="M50" s="22"/>
      <c r="N50" s="35"/>
      <c r="O50"/>
      <c r="P50"/>
      <c r="Q50"/>
      <c r="R50"/>
      <c r="S50"/>
      <c r="T50"/>
      <c r="U50"/>
      <c r="V50" s="2"/>
      <c r="W50" s="2"/>
      <c r="X50" s="2"/>
      <c r="Y50" s="2"/>
      <c r="Z50" s="2"/>
      <c r="AA50" s="2"/>
      <c r="AB50" s="2"/>
      <c r="AC50" s="2"/>
      <c r="AD50"/>
      <c r="AE50"/>
      <c r="AN50"/>
      <c r="AO50"/>
      <c r="AP50"/>
      <c r="AQ50"/>
    </row>
    <row r="51" spans="1:43" x14ac:dyDescent="0.25">
      <c r="B51" s="21"/>
      <c r="C51" s="21">
        <v>2025</v>
      </c>
      <c r="D51" s="21" t="s">
        <v>58</v>
      </c>
      <c r="E51" s="24"/>
      <c r="F51" s="24"/>
      <c r="G51" s="24"/>
      <c r="H51" s="24"/>
      <c r="I51" s="24"/>
      <c r="J51" s="24"/>
      <c r="K51" s="24"/>
      <c r="L51" s="24"/>
      <c r="M51" s="24"/>
      <c r="N51" s="35"/>
    </row>
    <row r="52" spans="1:43" x14ac:dyDescent="0.25">
      <c r="B52" s="21"/>
      <c r="C52" s="21">
        <v>2025</v>
      </c>
      <c r="D52" s="21" t="s">
        <v>59</v>
      </c>
      <c r="E52" s="24"/>
      <c r="F52" s="24"/>
      <c r="G52" s="24"/>
      <c r="H52" s="24"/>
      <c r="I52" s="24"/>
      <c r="J52" s="24"/>
      <c r="K52" s="24"/>
      <c r="L52" s="24"/>
      <c r="M52" s="24"/>
      <c r="N52" s="35"/>
    </row>
    <row r="53" spans="1:43" x14ac:dyDescent="0.25">
      <c r="B53" s="21">
        <v>14</v>
      </c>
      <c r="C53" s="21">
        <v>2025</v>
      </c>
      <c r="D53" s="21" t="s">
        <v>5</v>
      </c>
      <c r="E53" s="23"/>
      <c r="F53" s="24"/>
      <c r="G53" s="24"/>
      <c r="H53" s="24"/>
      <c r="I53" s="24"/>
      <c r="J53" s="23"/>
      <c r="K53" s="23"/>
      <c r="L53" s="23"/>
      <c r="M53" s="23"/>
      <c r="N53" s="35"/>
    </row>
    <row r="54" spans="1:43" x14ac:dyDescent="0.25">
      <c r="B54" s="21"/>
      <c r="C54" s="25">
        <v>2025</v>
      </c>
      <c r="D54" s="25" t="s">
        <v>60</v>
      </c>
      <c r="E54" s="23"/>
      <c r="F54" s="24"/>
      <c r="G54" s="24"/>
      <c r="H54" s="24"/>
      <c r="I54" s="24"/>
      <c r="J54" s="23"/>
      <c r="K54" s="23"/>
      <c r="L54" s="23"/>
      <c r="M54" s="23"/>
      <c r="N54" s="35"/>
    </row>
    <row r="55" spans="1:43" x14ac:dyDescent="0.25">
      <c r="B55" s="21"/>
      <c r="C55" s="25">
        <v>2025</v>
      </c>
      <c r="D55" s="25" t="s">
        <v>61</v>
      </c>
      <c r="E55" s="23"/>
      <c r="F55" s="24"/>
      <c r="G55" s="24"/>
      <c r="H55" s="24"/>
      <c r="I55" s="24"/>
      <c r="J55" s="23"/>
      <c r="K55" s="23"/>
      <c r="L55" s="23"/>
      <c r="M55" s="23"/>
      <c r="N55" s="35"/>
    </row>
    <row r="56" spans="1:43" x14ac:dyDescent="0.25">
      <c r="B56" s="20">
        <v>15</v>
      </c>
      <c r="C56" s="25">
        <v>2025</v>
      </c>
      <c r="D56" s="20" t="s">
        <v>6</v>
      </c>
      <c r="E56" s="22"/>
      <c r="F56" s="24"/>
      <c r="G56" s="24"/>
      <c r="H56" s="24"/>
      <c r="I56" s="24"/>
      <c r="J56" s="22"/>
      <c r="K56" s="22"/>
      <c r="L56" s="22"/>
      <c r="M56" s="22"/>
      <c r="N56" s="35"/>
      <c r="U56" s="11"/>
      <c r="V56" s="11"/>
      <c r="W56" s="11"/>
      <c r="X56" s="11"/>
      <c r="Y56" s="11"/>
    </row>
    <row r="57" spans="1:43" x14ac:dyDescent="0.25">
      <c r="B57" s="21"/>
      <c r="C57" s="21">
        <v>2025</v>
      </c>
      <c r="D57" s="21" t="s">
        <v>54</v>
      </c>
      <c r="E57" s="24"/>
      <c r="F57" s="24"/>
      <c r="G57" s="24"/>
      <c r="H57" s="24"/>
      <c r="I57" s="24"/>
      <c r="J57" s="24"/>
      <c r="K57" s="24"/>
      <c r="L57" s="24"/>
      <c r="M57" s="24"/>
      <c r="N57" s="35"/>
      <c r="U57" s="2"/>
    </row>
    <row r="58" spans="1:43" x14ac:dyDescent="0.25">
      <c r="B58" s="21"/>
      <c r="C58" s="21">
        <v>2025</v>
      </c>
      <c r="D58" s="21" t="s">
        <v>55</v>
      </c>
      <c r="E58" s="24"/>
      <c r="F58" s="24"/>
      <c r="G58" s="24"/>
      <c r="H58" s="24"/>
      <c r="I58" s="24"/>
      <c r="J58" s="24"/>
      <c r="K58" s="24"/>
      <c r="L58" s="24"/>
      <c r="M58" s="24"/>
      <c r="S58" s="26"/>
      <c r="T58" s="26"/>
      <c r="U58" s="2"/>
      <c r="AP58" s="26"/>
      <c r="AQ58" s="26"/>
    </row>
    <row r="59" spans="1:43" x14ac:dyDescent="0.25">
      <c r="B59" s="69">
        <v>16</v>
      </c>
      <c r="C59" s="69">
        <v>2025</v>
      </c>
      <c r="D59" s="69" t="s">
        <v>3</v>
      </c>
      <c r="E59" s="73"/>
      <c r="F59" s="74"/>
      <c r="G59" s="74"/>
      <c r="H59" s="74"/>
      <c r="I59" s="74"/>
      <c r="J59" s="73"/>
      <c r="K59" s="73"/>
      <c r="L59" s="73"/>
      <c r="M59" s="73"/>
      <c r="U59" s="2"/>
    </row>
    <row r="60" spans="1:43" x14ac:dyDescent="0.25">
      <c r="B60" s="6"/>
      <c r="C60" s="6"/>
      <c r="D60" s="4" t="s">
        <v>79</v>
      </c>
      <c r="E60" s="16"/>
      <c r="F60" s="38"/>
      <c r="G60" s="38"/>
      <c r="H60" s="38"/>
      <c r="I60" s="38"/>
      <c r="J60" s="8"/>
      <c r="K60" s="6"/>
      <c r="L60" s="38"/>
      <c r="M60" s="38"/>
    </row>
    <row r="61" spans="1:43" x14ac:dyDescent="0.25">
      <c r="B61" s="6"/>
      <c r="C61" s="6"/>
      <c r="D61" s="4" t="s">
        <v>78</v>
      </c>
      <c r="E61" s="16" t="s">
        <v>62</v>
      </c>
      <c r="F61" s="38"/>
      <c r="G61" s="38"/>
      <c r="H61" s="38"/>
      <c r="I61" s="38"/>
      <c r="J61" s="8"/>
      <c r="K61" s="8"/>
      <c r="L61" s="8"/>
      <c r="M61" s="8"/>
      <c r="T61" s="26"/>
      <c r="U61" s="26"/>
      <c r="V61" s="11"/>
      <c r="W61" s="11"/>
      <c r="X61" s="11"/>
      <c r="Y61" s="11"/>
      <c r="Z61" s="11"/>
      <c r="AA61" s="11"/>
      <c r="AB61" s="11"/>
      <c r="AC61" s="11"/>
      <c r="AD61" s="26"/>
      <c r="AE61" s="26"/>
      <c r="AO61" s="26"/>
    </row>
    <row r="62" spans="1:43" x14ac:dyDescent="0.25">
      <c r="B62" s="6"/>
      <c r="C62" s="6"/>
      <c r="D62" s="6"/>
      <c r="E62" s="16" t="s">
        <v>39</v>
      </c>
      <c r="F62" s="38"/>
      <c r="G62" s="38"/>
      <c r="H62" s="38"/>
      <c r="I62" s="38"/>
      <c r="J62" s="8"/>
      <c r="K62" s="8"/>
      <c r="L62" s="8"/>
      <c r="M62" s="8"/>
      <c r="W62" s="70"/>
      <c r="X62" s="70"/>
      <c r="Y62" s="70"/>
      <c r="Z62" s="70"/>
      <c r="AA62" s="70"/>
      <c r="AB62" s="70"/>
      <c r="AC62" s="70"/>
      <c r="AD62" s="70"/>
      <c r="AE62" s="70"/>
    </row>
    <row r="63" spans="1:43" x14ac:dyDescent="0.25">
      <c r="B63" s="6"/>
      <c r="C63" s="6"/>
      <c r="D63" s="6"/>
      <c r="E63" s="16" t="s">
        <v>40</v>
      </c>
      <c r="F63" s="38"/>
      <c r="G63" s="38"/>
      <c r="H63" s="38"/>
      <c r="I63" s="38"/>
      <c r="J63" s="8"/>
      <c r="K63" s="8"/>
      <c r="L63" s="8"/>
      <c r="M63" s="8"/>
      <c r="W63" s="6"/>
      <c r="X63" s="6"/>
      <c r="Y63" s="6"/>
      <c r="Z63" s="6"/>
      <c r="AA63" s="6"/>
      <c r="AB63" s="6"/>
      <c r="AC63" s="6"/>
      <c r="AD63" s="6"/>
      <c r="AE63" s="6"/>
    </row>
    <row r="64" spans="1:43" x14ac:dyDescent="0.25">
      <c r="E64" s="16"/>
      <c r="F64" s="5"/>
      <c r="G64" s="5"/>
      <c r="H64" s="5"/>
      <c r="I64" s="5"/>
      <c r="W64" s="6"/>
      <c r="Z64" s="6"/>
      <c r="AC64" s="6"/>
      <c r="AD64" s="2"/>
      <c r="AE64" s="2"/>
    </row>
    <row r="65" spans="1:39" x14ac:dyDescent="0.25">
      <c r="E65" s="16"/>
      <c r="F65" s="5"/>
      <c r="G65" s="5"/>
      <c r="H65" s="5"/>
      <c r="I65" s="5"/>
    </row>
    <row r="66" spans="1:39" x14ac:dyDescent="0.25">
      <c r="E66" s="16"/>
      <c r="F66" s="5"/>
      <c r="G66" s="5"/>
      <c r="H66" s="5"/>
      <c r="I66" s="5"/>
      <c r="Q66" s="7"/>
      <c r="R66" s="26"/>
      <c r="U66" s="6"/>
      <c r="V66" s="1"/>
      <c r="W66" s="44"/>
      <c r="X66" s="53"/>
      <c r="Y66" s="41"/>
      <c r="Z66" s="58"/>
      <c r="AA66" s="53"/>
      <c r="AB66" s="54"/>
      <c r="AC66" s="44"/>
      <c r="AD66" s="53"/>
      <c r="AE66" s="54"/>
    </row>
    <row r="67" spans="1:39" x14ac:dyDescent="0.25">
      <c r="Q67" s="5"/>
      <c r="U67" s="6"/>
      <c r="V67" s="1"/>
      <c r="W67" s="44"/>
      <c r="X67" s="53"/>
      <c r="Y67" s="41"/>
      <c r="Z67" s="58"/>
      <c r="AA67" s="53"/>
      <c r="AB67" s="54"/>
      <c r="AC67" s="44"/>
      <c r="AD67" s="53"/>
      <c r="AE67" s="54"/>
    </row>
    <row r="68" spans="1:39" x14ac:dyDescent="0.25">
      <c r="Q68" s="5"/>
      <c r="U68" s="6"/>
      <c r="V68" s="1"/>
      <c r="W68" s="44"/>
      <c r="X68" s="53"/>
      <c r="Y68" s="41"/>
      <c r="Z68" s="58"/>
      <c r="AA68" s="53"/>
      <c r="AB68" s="54"/>
      <c r="AC68" s="44"/>
      <c r="AD68" s="53"/>
      <c r="AE68" s="54"/>
      <c r="AG68" s="2"/>
      <c r="AH68" s="2"/>
      <c r="AI68" s="2"/>
      <c r="AJ68" s="2"/>
      <c r="AK68" s="2"/>
      <c r="AL68" s="2"/>
      <c r="AM68" s="2"/>
    </row>
    <row r="69" spans="1:39" x14ac:dyDescent="0.25">
      <c r="A69" s="7" t="s">
        <v>65</v>
      </c>
      <c r="B69" s="11" t="s">
        <v>42</v>
      </c>
      <c r="C69" s="7" t="s">
        <v>9</v>
      </c>
      <c r="D69" s="7" t="s">
        <v>44</v>
      </c>
      <c r="E69" s="7" t="s">
        <v>52</v>
      </c>
      <c r="F69" s="7" t="s">
        <v>47</v>
      </c>
      <c r="G69" s="7" t="s">
        <v>49</v>
      </c>
      <c r="H69" s="7" t="s">
        <v>46</v>
      </c>
      <c r="I69" s="7" t="s">
        <v>1</v>
      </c>
      <c r="J69" s="29" t="s">
        <v>45</v>
      </c>
      <c r="K69" s="29" t="s">
        <v>50</v>
      </c>
      <c r="L69" s="29" t="s">
        <v>51</v>
      </c>
      <c r="M69" s="29" t="s">
        <v>53</v>
      </c>
      <c r="N69" s="7" t="s">
        <v>44</v>
      </c>
      <c r="O69" s="7"/>
      <c r="Q69" s="5"/>
      <c r="U69" s="6"/>
      <c r="V69" s="1"/>
      <c r="W69" s="44"/>
      <c r="X69" s="41"/>
      <c r="Y69" s="41"/>
      <c r="Z69" s="6"/>
      <c r="AA69" s="41"/>
      <c r="AB69" s="41"/>
      <c r="AC69" s="44"/>
      <c r="AD69" s="41"/>
      <c r="AE69" s="41"/>
      <c r="AG69" s="2"/>
      <c r="AH69" s="2"/>
      <c r="AI69" s="2"/>
      <c r="AJ69" s="2"/>
      <c r="AK69" s="5"/>
      <c r="AL69" s="5"/>
      <c r="AM69" s="5"/>
    </row>
    <row r="70" spans="1:39" x14ac:dyDescent="0.25">
      <c r="A70" s="6" t="s">
        <v>0</v>
      </c>
      <c r="B70" s="1" t="s">
        <v>50</v>
      </c>
      <c r="C70" s="6">
        <v>2018</v>
      </c>
      <c r="D70" s="6" t="s">
        <v>4</v>
      </c>
      <c r="E70" s="5">
        <v>4828</v>
      </c>
      <c r="F70" s="5">
        <v>625.6</v>
      </c>
      <c r="G70" s="5">
        <v>578.20000000000005</v>
      </c>
      <c r="H70" s="5">
        <v>3996.3</v>
      </c>
      <c r="I70" s="5">
        <v>1186.4000000000001</v>
      </c>
      <c r="J70" s="3">
        <v>849.09999999999945</v>
      </c>
      <c r="K70" s="3">
        <v>3519.8</v>
      </c>
      <c r="L70" s="3">
        <v>1067.0999999999999</v>
      </c>
      <c r="M70" s="3">
        <v>1444.9</v>
      </c>
      <c r="N70" s="5">
        <v>6031.8</v>
      </c>
      <c r="O70" s="5"/>
      <c r="Q70" s="37"/>
      <c r="U70" s="6"/>
      <c r="V70" s="1"/>
      <c r="W70" s="44"/>
      <c r="X70" s="53"/>
      <c r="Y70" s="41"/>
      <c r="Z70" s="58"/>
      <c r="AA70" s="53"/>
      <c r="AB70" s="54"/>
      <c r="AC70" s="44"/>
      <c r="AD70" s="53"/>
      <c r="AE70" s="54"/>
      <c r="AG70" s="2"/>
      <c r="AH70" s="2"/>
      <c r="AI70" s="2"/>
      <c r="AJ70" s="2"/>
      <c r="AK70" s="5"/>
      <c r="AL70" s="5"/>
      <c r="AM70" s="5"/>
    </row>
    <row r="71" spans="1:39" x14ac:dyDescent="0.25">
      <c r="A71" s="6" t="s">
        <v>0</v>
      </c>
      <c r="B71" s="1" t="s">
        <v>51</v>
      </c>
      <c r="C71" s="6">
        <v>2018</v>
      </c>
      <c r="D71" s="6" t="s">
        <v>5</v>
      </c>
      <c r="E71" s="5">
        <v>5060.3999999999996</v>
      </c>
      <c r="F71" s="5">
        <v>660.6</v>
      </c>
      <c r="G71" s="5">
        <v>589.29999999999995</v>
      </c>
      <c r="H71" s="5">
        <v>4224</v>
      </c>
      <c r="I71" s="5">
        <v>1229</v>
      </c>
      <c r="J71" s="3">
        <v>857.30000000000018</v>
      </c>
      <c r="K71" s="3">
        <v>3766.2</v>
      </c>
      <c r="L71" s="3">
        <v>1132.5999999999999</v>
      </c>
      <c r="M71" s="3">
        <v>1411.5</v>
      </c>
      <c r="N71" s="5">
        <v>6310.3</v>
      </c>
      <c r="O71" s="5"/>
      <c r="U71" s="6"/>
      <c r="V71" s="1"/>
      <c r="W71" s="44"/>
      <c r="X71" s="53"/>
      <c r="Y71" s="41"/>
      <c r="Z71" s="58"/>
      <c r="AA71" s="53"/>
      <c r="AB71" s="54"/>
      <c r="AC71" s="44"/>
      <c r="AD71" s="53"/>
      <c r="AE71" s="54"/>
      <c r="AG71" s="2"/>
      <c r="AH71" s="2"/>
      <c r="AI71" s="2"/>
      <c r="AJ71" s="2"/>
      <c r="AK71" s="5"/>
      <c r="AL71" s="5"/>
      <c r="AM71" s="5"/>
    </row>
    <row r="72" spans="1:39" x14ac:dyDescent="0.25">
      <c r="A72" s="6" t="s">
        <v>0</v>
      </c>
      <c r="B72" s="1" t="s">
        <v>53</v>
      </c>
      <c r="C72" s="6">
        <v>2018</v>
      </c>
      <c r="D72" s="6" t="s">
        <v>6</v>
      </c>
      <c r="E72" s="5">
        <v>5060.1000000000004</v>
      </c>
      <c r="F72" s="5">
        <v>683.59999999999991</v>
      </c>
      <c r="G72" s="5">
        <v>560</v>
      </c>
      <c r="H72" s="5">
        <v>4270.6999999999971</v>
      </c>
      <c r="I72" s="5">
        <v>2292.0999999999995</v>
      </c>
      <c r="J72" s="3">
        <v>-259.09999999999582</v>
      </c>
      <c r="K72" s="3">
        <v>3759.1000000000004</v>
      </c>
      <c r="L72" s="3">
        <v>1154.2999999999997</v>
      </c>
      <c r="M72" s="3">
        <v>1389.5999999999995</v>
      </c>
      <c r="N72" s="5">
        <v>6303.6</v>
      </c>
      <c r="O72" s="5"/>
      <c r="P72" s="11"/>
      <c r="U72" s="6"/>
      <c r="V72" s="1"/>
      <c r="W72" s="44"/>
      <c r="X72" s="53"/>
      <c r="Y72" s="41"/>
      <c r="Z72" s="58"/>
      <c r="AA72" s="53"/>
      <c r="AB72" s="54"/>
      <c r="AC72" s="44"/>
      <c r="AD72" s="53"/>
      <c r="AE72" s="54"/>
    </row>
    <row r="73" spans="1:39" x14ac:dyDescent="0.25">
      <c r="A73" s="6" t="s">
        <v>43</v>
      </c>
      <c r="B73" s="1" t="s">
        <v>46</v>
      </c>
      <c r="C73" s="6">
        <v>2018</v>
      </c>
      <c r="D73" s="6" t="s">
        <v>3</v>
      </c>
      <c r="E73" s="5">
        <v>5370.3</v>
      </c>
      <c r="F73" s="5">
        <v>737.1</v>
      </c>
      <c r="G73" s="5">
        <v>525.29999999999995</v>
      </c>
      <c r="H73" s="5">
        <v>4612.5</v>
      </c>
      <c r="I73" s="5">
        <v>1504</v>
      </c>
      <c r="J73" s="3">
        <v>516.19999999999982</v>
      </c>
      <c r="K73" s="3">
        <v>3926</v>
      </c>
      <c r="L73" s="3">
        <v>1188.9000000000001</v>
      </c>
      <c r="M73" s="3">
        <v>1517.8</v>
      </c>
      <c r="N73" s="37">
        <v>6632.7</v>
      </c>
      <c r="O73" s="5"/>
      <c r="P73" s="3"/>
      <c r="U73" s="6"/>
      <c r="V73" s="1"/>
      <c r="W73" s="44"/>
      <c r="X73" s="53"/>
      <c r="Y73" s="41"/>
      <c r="Z73" s="58"/>
      <c r="AA73" s="53"/>
      <c r="AB73" s="54"/>
      <c r="AC73" s="44"/>
      <c r="AD73" s="53"/>
      <c r="AE73" s="54"/>
      <c r="AG73" s="2"/>
      <c r="AH73" s="6"/>
      <c r="AI73" s="1"/>
      <c r="AJ73" s="2"/>
      <c r="AK73" s="5"/>
      <c r="AL73" s="5"/>
      <c r="AM73" s="5"/>
    </row>
    <row r="74" spans="1:39" x14ac:dyDescent="0.25">
      <c r="A74" s="6" t="s">
        <v>43</v>
      </c>
      <c r="B74" s="1" t="s">
        <v>1</v>
      </c>
      <c r="C74" s="6">
        <v>2019</v>
      </c>
      <c r="D74" s="6" t="s">
        <v>4</v>
      </c>
      <c r="E74" s="5">
        <v>5159</v>
      </c>
      <c r="F74" s="5">
        <v>678.2</v>
      </c>
      <c r="G74" s="5">
        <v>468.7</v>
      </c>
      <c r="H74" s="5">
        <v>4305.8999999999996</v>
      </c>
      <c r="I74" s="5">
        <v>1289.0999999999999</v>
      </c>
      <c r="J74" s="3">
        <v>710.89999999999964</v>
      </c>
      <c r="K74" s="3">
        <v>3760.4</v>
      </c>
      <c r="L74" s="3">
        <v>1157.9000000000001</v>
      </c>
      <c r="M74" s="3">
        <v>1387.6</v>
      </c>
      <c r="N74" s="37">
        <v>6305.9</v>
      </c>
      <c r="O74" s="37"/>
      <c r="P74" s="3"/>
      <c r="U74" s="6"/>
      <c r="V74" s="1"/>
      <c r="W74" s="44"/>
      <c r="X74" s="41"/>
      <c r="Y74" s="41"/>
      <c r="Z74" s="6"/>
      <c r="AA74" s="41"/>
      <c r="AB74" s="41"/>
      <c r="AC74" s="44"/>
      <c r="AD74" s="41"/>
      <c r="AE74" s="41"/>
      <c r="AG74" s="2"/>
      <c r="AH74" s="6"/>
      <c r="AI74" s="1"/>
      <c r="AJ74" s="2"/>
      <c r="AK74" s="5"/>
      <c r="AL74" s="5"/>
      <c r="AM74" s="5"/>
    </row>
    <row r="75" spans="1:39" x14ac:dyDescent="0.25">
      <c r="A75" s="6" t="s">
        <v>43</v>
      </c>
      <c r="B75" s="1" t="s">
        <v>45</v>
      </c>
      <c r="C75" s="6">
        <v>2019</v>
      </c>
      <c r="D75" s="6" t="s">
        <v>5</v>
      </c>
      <c r="E75" s="5">
        <v>5535</v>
      </c>
      <c r="F75" s="5">
        <v>725</v>
      </c>
      <c r="G75" s="5">
        <v>563</v>
      </c>
      <c r="H75" s="5">
        <v>4671.8</v>
      </c>
      <c r="I75" s="5">
        <v>1336.9</v>
      </c>
      <c r="J75" s="3">
        <v>814.29999999999927</v>
      </c>
      <c r="K75" s="3">
        <v>4122.1000000000004</v>
      </c>
      <c r="L75" s="3">
        <v>1220.3</v>
      </c>
      <c r="M75" s="3">
        <v>1480.6</v>
      </c>
      <c r="N75" s="37">
        <v>6823</v>
      </c>
      <c r="O75" s="37"/>
      <c r="P75" s="3"/>
      <c r="U75" s="6"/>
      <c r="V75" s="1"/>
      <c r="W75" s="44"/>
      <c r="X75" s="53"/>
      <c r="Y75" s="41"/>
      <c r="Z75" s="58"/>
      <c r="AA75" s="53"/>
      <c r="AB75" s="54"/>
      <c r="AC75" s="44"/>
      <c r="AD75" s="53"/>
      <c r="AE75" s="54"/>
      <c r="AG75" s="2"/>
      <c r="AH75" s="6"/>
      <c r="AI75" s="1"/>
      <c r="AJ75" s="2"/>
      <c r="AK75" s="5"/>
      <c r="AL75" s="5"/>
      <c r="AM75" s="5"/>
    </row>
    <row r="76" spans="1:39" x14ac:dyDescent="0.25">
      <c r="A76" s="6" t="s">
        <v>48</v>
      </c>
      <c r="B76" s="1" t="s">
        <v>52</v>
      </c>
      <c r="C76" s="6">
        <v>2019</v>
      </c>
      <c r="D76" s="6" t="s">
        <v>6</v>
      </c>
      <c r="E76" s="5">
        <v>5480.1000000000022</v>
      </c>
      <c r="F76" s="5">
        <v>734.69999999999982</v>
      </c>
      <c r="G76" s="5">
        <v>532.19999999999982</v>
      </c>
      <c r="H76" s="5">
        <v>4668.7999999999993</v>
      </c>
      <c r="I76" s="5">
        <v>2060.6999999999998</v>
      </c>
      <c r="J76" s="3">
        <v>17.500000000000909</v>
      </c>
      <c r="K76" s="3">
        <v>4112.7000000000007</v>
      </c>
      <c r="L76" s="3">
        <v>769.19999999999982</v>
      </c>
      <c r="M76" s="3">
        <v>1865.1000000000004</v>
      </c>
      <c r="N76" s="37">
        <v>6747</v>
      </c>
      <c r="O76" s="37"/>
      <c r="P76" s="3"/>
      <c r="U76" s="6"/>
      <c r="V76" s="1"/>
      <c r="W76" s="44"/>
      <c r="X76" s="53"/>
      <c r="Y76" s="41"/>
      <c r="Z76" s="58"/>
      <c r="AA76" s="53"/>
      <c r="AB76" s="54"/>
      <c r="AC76" s="44"/>
      <c r="AD76" s="53"/>
      <c r="AE76" s="54"/>
      <c r="AG76" s="2"/>
      <c r="AH76" s="2"/>
      <c r="AI76" s="2"/>
      <c r="AJ76" s="2"/>
      <c r="AK76" s="5"/>
      <c r="AL76" s="5"/>
      <c r="AM76" s="5"/>
    </row>
    <row r="77" spans="1:39" x14ac:dyDescent="0.25">
      <c r="A77" s="6" t="s">
        <v>48</v>
      </c>
      <c r="B77" s="1" t="s">
        <v>47</v>
      </c>
      <c r="C77" s="6">
        <v>2019</v>
      </c>
      <c r="D77" s="6" t="s">
        <v>3</v>
      </c>
      <c r="E77" s="5">
        <v>5780.7</v>
      </c>
      <c r="F77" s="5">
        <v>792</v>
      </c>
      <c r="G77" s="5">
        <v>524.4</v>
      </c>
      <c r="H77" s="5">
        <v>5010.8999999999996</v>
      </c>
      <c r="I77" s="5">
        <v>1571.1</v>
      </c>
      <c r="J77" s="3">
        <v>515.10000000000036</v>
      </c>
      <c r="K77" s="3">
        <v>4260.8999999999996</v>
      </c>
      <c r="L77" s="3">
        <v>1281.4000000000001</v>
      </c>
      <c r="M77" s="3">
        <v>1554.8</v>
      </c>
      <c r="N77" s="37">
        <v>7097.1</v>
      </c>
      <c r="O77" s="37"/>
      <c r="U77" s="6"/>
      <c r="V77" s="1"/>
      <c r="W77" s="44"/>
      <c r="X77" s="53"/>
      <c r="Y77" s="41"/>
      <c r="Z77" s="58"/>
      <c r="AA77" s="53"/>
      <c r="AB77" s="54"/>
      <c r="AC77" s="44"/>
      <c r="AD77" s="53"/>
      <c r="AE77" s="54"/>
      <c r="AG77" s="2"/>
      <c r="AH77" s="2"/>
      <c r="AI77" s="2"/>
      <c r="AJ77" s="2"/>
      <c r="AK77" s="5"/>
      <c r="AL77" s="5"/>
      <c r="AM77" s="5"/>
    </row>
    <row r="78" spans="1:39" x14ac:dyDescent="0.25">
      <c r="A78" s="6" t="s">
        <v>48</v>
      </c>
      <c r="B78" s="1" t="s">
        <v>49</v>
      </c>
      <c r="C78" s="6">
        <v>2020</v>
      </c>
      <c r="D78" s="6" t="s">
        <v>4</v>
      </c>
      <c r="E78" s="5">
        <v>4766</v>
      </c>
      <c r="F78" s="5">
        <v>689.8</v>
      </c>
      <c r="G78" s="5">
        <v>539.9</v>
      </c>
      <c r="H78" s="5">
        <v>4330</v>
      </c>
      <c r="I78" s="5">
        <v>1134.5999999999999</v>
      </c>
      <c r="J78" s="3">
        <v>531.09999999999945</v>
      </c>
      <c r="K78" s="3">
        <v>3530.9</v>
      </c>
      <c r="L78" s="3">
        <v>968.7</v>
      </c>
      <c r="M78" s="3">
        <v>1496.1</v>
      </c>
      <c r="N78" s="37">
        <v>5995.7</v>
      </c>
      <c r="O78" s="37"/>
      <c r="U78" s="6"/>
      <c r="V78" s="1"/>
      <c r="W78" s="44"/>
      <c r="X78" s="53"/>
      <c r="Y78" s="41"/>
      <c r="Z78" s="58"/>
      <c r="AA78" s="53"/>
      <c r="AB78" s="54"/>
      <c r="AC78" s="44"/>
      <c r="AD78" s="53"/>
      <c r="AE78" s="54"/>
    </row>
    <row r="79" spans="1:39" x14ac:dyDescent="0.25">
      <c r="A79" s="6"/>
      <c r="B79" s="1" t="s">
        <v>44</v>
      </c>
      <c r="C79" s="6">
        <v>2020</v>
      </c>
      <c r="D79" s="6" t="s">
        <v>5</v>
      </c>
      <c r="E79" s="5">
        <v>3444.4</v>
      </c>
      <c r="F79" s="5">
        <v>300.5</v>
      </c>
      <c r="G79" s="5">
        <v>477.2</v>
      </c>
      <c r="H79" s="5">
        <v>2805.5</v>
      </c>
      <c r="I79" s="5">
        <v>949.6</v>
      </c>
      <c r="J79" s="3">
        <v>467.00000000000045</v>
      </c>
      <c r="K79" s="3">
        <v>2628.8</v>
      </c>
      <c r="L79" s="3">
        <v>629.20000000000005</v>
      </c>
      <c r="M79" s="3">
        <v>964.1</v>
      </c>
      <c r="N79" s="37">
        <v>4222.1000000000004</v>
      </c>
      <c r="O79" s="37"/>
      <c r="U79" s="6"/>
      <c r="V79" s="1"/>
      <c r="W79" s="44"/>
      <c r="X79" s="41"/>
      <c r="Y79" s="41"/>
      <c r="Z79" s="6"/>
      <c r="AA79" s="41"/>
      <c r="AB79" s="41"/>
      <c r="AC79" s="44"/>
      <c r="AD79" s="41"/>
      <c r="AE79" s="41"/>
    </row>
    <row r="80" spans="1:39" x14ac:dyDescent="0.25">
      <c r="C80" s="6">
        <v>2020</v>
      </c>
      <c r="D80" s="6" t="s">
        <v>6</v>
      </c>
      <c r="E80" s="5">
        <v>5173.4999999999982</v>
      </c>
      <c r="F80" s="5">
        <v>544.79999999999995</v>
      </c>
      <c r="G80" s="5">
        <v>484.79999999999995</v>
      </c>
      <c r="H80" s="5">
        <v>4149.8000000000011</v>
      </c>
      <c r="I80" s="5">
        <v>1575.3000000000006</v>
      </c>
      <c r="J80" s="3">
        <v>477.99999999999818</v>
      </c>
      <c r="K80" s="3">
        <v>3916.9000000000015</v>
      </c>
      <c r="L80" s="3">
        <v>919.89999999999964</v>
      </c>
      <c r="M80" s="3">
        <v>1366.3000000000006</v>
      </c>
      <c r="N80" s="37">
        <v>6203.1</v>
      </c>
      <c r="O80" s="37"/>
      <c r="Q80" s="37"/>
      <c r="AD80" s="2"/>
    </row>
    <row r="81" spans="3:46" x14ac:dyDescent="0.25">
      <c r="C81" s="6">
        <v>2020</v>
      </c>
      <c r="D81" s="6" t="s">
        <v>3</v>
      </c>
      <c r="E81" s="5">
        <v>5726.5</v>
      </c>
      <c r="F81" s="5">
        <v>613.79999999999995</v>
      </c>
      <c r="G81" s="5">
        <v>409.1</v>
      </c>
      <c r="H81" s="5">
        <v>4675.6000000000004</v>
      </c>
      <c r="I81" s="5">
        <v>1681.9</v>
      </c>
      <c r="J81" s="3">
        <v>391.89999999999964</v>
      </c>
      <c r="K81" s="3">
        <v>4251.8999999999996</v>
      </c>
      <c r="L81" s="3">
        <v>1140.8</v>
      </c>
      <c r="M81" s="3">
        <v>1356.7</v>
      </c>
      <c r="N81" s="37">
        <v>6749.4</v>
      </c>
      <c r="O81" s="37"/>
      <c r="Q81" s="37"/>
      <c r="AD81" s="2"/>
    </row>
    <row r="82" spans="3:46" x14ac:dyDescent="0.25">
      <c r="C82" s="6">
        <v>2021</v>
      </c>
      <c r="D82" s="6" t="s">
        <v>4</v>
      </c>
      <c r="E82" s="5">
        <v>5653.1</v>
      </c>
      <c r="F82" s="5">
        <v>595</v>
      </c>
      <c r="G82" s="5">
        <v>419.9</v>
      </c>
      <c r="H82" s="5">
        <v>4664.6000000000004</v>
      </c>
      <c r="I82" s="5">
        <v>1610.9</v>
      </c>
      <c r="J82" s="3">
        <v>392.5</v>
      </c>
      <c r="K82" s="3">
        <v>4212.8</v>
      </c>
      <c r="L82" s="3">
        <v>1131.4000000000001</v>
      </c>
      <c r="M82" s="3">
        <v>1323.8</v>
      </c>
      <c r="N82" s="37">
        <v>6668</v>
      </c>
      <c r="O82" s="37"/>
      <c r="Q82" s="37"/>
      <c r="W82" s="5"/>
      <c r="AD82" s="2"/>
    </row>
    <row r="83" spans="3:46" x14ac:dyDescent="0.25">
      <c r="C83" s="6">
        <v>2021</v>
      </c>
      <c r="D83" s="6" t="s">
        <v>5</v>
      </c>
      <c r="E83" s="5">
        <v>6363.1</v>
      </c>
      <c r="F83" s="5">
        <v>680.2</v>
      </c>
      <c r="G83" s="5">
        <v>453.2</v>
      </c>
      <c r="H83" s="5">
        <v>5400.3</v>
      </c>
      <c r="I83" s="5">
        <v>1658.4</v>
      </c>
      <c r="J83" s="3">
        <v>437.79999999999927</v>
      </c>
      <c r="K83" s="3">
        <v>4753.1000000000004</v>
      </c>
      <c r="L83" s="3">
        <v>1311.2</v>
      </c>
      <c r="M83" s="3">
        <v>1432.2</v>
      </c>
      <c r="N83" s="37">
        <v>7496.5</v>
      </c>
      <c r="O83" s="37"/>
      <c r="Q83" s="5"/>
      <c r="Y83" s="5"/>
      <c r="AB83" s="5"/>
      <c r="AE83" s="5"/>
    </row>
    <row r="84" spans="3:46" x14ac:dyDescent="0.25">
      <c r="C84" s="6">
        <v>2021</v>
      </c>
      <c r="D84" s="6" t="s">
        <v>6</v>
      </c>
      <c r="E84" s="5">
        <v>6864.2999999999993</v>
      </c>
      <c r="F84" s="5">
        <v>794.59999999999991</v>
      </c>
      <c r="G84" s="5">
        <v>487.79999999999995</v>
      </c>
      <c r="H84" s="5">
        <v>5707.4000000000015</v>
      </c>
      <c r="I84" s="5">
        <v>1970.3999999999996</v>
      </c>
      <c r="J84" s="3">
        <v>468.89999999999873</v>
      </c>
      <c r="K84" s="3">
        <v>5099.1999999999989</v>
      </c>
      <c r="L84" s="3">
        <v>1470</v>
      </c>
      <c r="M84" s="3">
        <v>1577.5</v>
      </c>
      <c r="N84" s="37">
        <v>8146.7</v>
      </c>
      <c r="O84" s="37"/>
      <c r="Q84" s="5"/>
      <c r="Y84" s="3"/>
      <c r="AB84" s="3"/>
      <c r="AE84" s="3"/>
    </row>
    <row r="85" spans="3:46" x14ac:dyDescent="0.25">
      <c r="C85" s="6">
        <v>2021</v>
      </c>
      <c r="D85" s="6" t="s">
        <v>3</v>
      </c>
      <c r="E85" s="5">
        <v>6722.4</v>
      </c>
      <c r="F85" s="5">
        <v>850.8</v>
      </c>
      <c r="G85" s="5">
        <v>477.2</v>
      </c>
      <c r="H85" s="5">
        <v>5723.3</v>
      </c>
      <c r="I85" s="5">
        <v>1875.9</v>
      </c>
      <c r="J85" s="3">
        <v>451.19999999999891</v>
      </c>
      <c r="K85" s="3">
        <v>4898.3999999999996</v>
      </c>
      <c r="L85" s="3">
        <v>1434.6</v>
      </c>
      <c r="M85" s="3">
        <v>1717.4</v>
      </c>
      <c r="N85" s="37">
        <v>8050.4</v>
      </c>
      <c r="O85" s="37"/>
      <c r="Q85" s="5"/>
    </row>
    <row r="86" spans="3:46" x14ac:dyDescent="0.25">
      <c r="C86" s="6">
        <v>2022</v>
      </c>
      <c r="D86" s="6" t="s">
        <v>4</v>
      </c>
      <c r="E86" s="5">
        <v>6276.7</v>
      </c>
      <c r="F86" s="5">
        <v>849.5</v>
      </c>
      <c r="G86" s="5">
        <v>509.4</v>
      </c>
      <c r="H86" s="5">
        <v>5445.7</v>
      </c>
      <c r="I86" s="5">
        <v>1702.4</v>
      </c>
      <c r="J86" s="3">
        <v>487.5</v>
      </c>
      <c r="K86" s="3">
        <v>4599</v>
      </c>
      <c r="L86" s="3">
        <v>1364.3</v>
      </c>
      <c r="M86" s="3">
        <v>1672.3</v>
      </c>
      <c r="N86" s="5">
        <v>7636</v>
      </c>
      <c r="O86" s="5"/>
      <c r="P86" s="3"/>
      <c r="Q86" s="5"/>
      <c r="V86" s="11"/>
      <c r="W86" s="11"/>
      <c r="Y86" s="59"/>
      <c r="Z86" s="11"/>
      <c r="AB86" s="59"/>
      <c r="AC86" s="11"/>
      <c r="AE86" s="60"/>
    </row>
    <row r="87" spans="3:46" x14ac:dyDescent="0.25">
      <c r="C87" s="6">
        <v>2022</v>
      </c>
      <c r="D87" s="6" t="s">
        <v>5</v>
      </c>
      <c r="E87" s="5">
        <v>6675.5</v>
      </c>
      <c r="F87" s="5">
        <v>956.8</v>
      </c>
      <c r="G87" s="5">
        <v>517.79999999999995</v>
      </c>
      <c r="H87" s="5">
        <v>6058.4</v>
      </c>
      <c r="I87" s="5">
        <v>1584.7</v>
      </c>
      <c r="J87" s="3">
        <v>507</v>
      </c>
      <c r="K87" s="3">
        <v>4944.6000000000004</v>
      </c>
      <c r="L87" s="3">
        <v>1472</v>
      </c>
      <c r="M87" s="3">
        <v>1733.5</v>
      </c>
      <c r="N87" s="5">
        <v>8150</v>
      </c>
      <c r="O87" s="5"/>
      <c r="P87" s="3"/>
      <c r="Q87" s="5"/>
    </row>
    <row r="88" spans="3:46" x14ac:dyDescent="0.25">
      <c r="C88" s="6">
        <v>2022</v>
      </c>
      <c r="D88" s="6" t="s">
        <v>6</v>
      </c>
      <c r="E88" s="5">
        <v>6901.4</v>
      </c>
      <c r="F88" s="5">
        <v>998.4</v>
      </c>
      <c r="G88" s="5">
        <v>514.4</v>
      </c>
      <c r="H88" s="5">
        <v>6134.4</v>
      </c>
      <c r="I88" s="5">
        <v>1777</v>
      </c>
      <c r="J88" s="3">
        <v>483.7</v>
      </c>
      <c r="K88" s="3">
        <v>5113.2999999999993</v>
      </c>
      <c r="L88" s="3">
        <v>1533.3000000000002</v>
      </c>
      <c r="M88" s="3">
        <v>1767.6000000000004</v>
      </c>
      <c r="N88" s="5">
        <v>8414</v>
      </c>
      <c r="O88" s="5"/>
      <c r="P88" s="3"/>
      <c r="Q88" s="37"/>
    </row>
    <row r="89" spans="3:46" x14ac:dyDescent="0.25">
      <c r="C89" s="6">
        <v>2022</v>
      </c>
      <c r="D89" s="6" t="s">
        <v>3</v>
      </c>
      <c r="E89" s="5">
        <v>7084</v>
      </c>
      <c r="F89" s="5">
        <v>1120</v>
      </c>
      <c r="G89" s="5">
        <v>511</v>
      </c>
      <c r="H89" s="5">
        <v>6551</v>
      </c>
      <c r="I89" s="5">
        <v>1680</v>
      </c>
      <c r="J89" s="5">
        <v>483</v>
      </c>
      <c r="K89" s="5">
        <v>5173</v>
      </c>
      <c r="L89" s="5">
        <v>1566</v>
      </c>
      <c r="M89" s="3">
        <v>1975</v>
      </c>
      <c r="N89" s="5">
        <v>8714</v>
      </c>
      <c r="O89" s="5"/>
      <c r="P89" s="3"/>
      <c r="Q89" s="37"/>
      <c r="AE89" s="2"/>
    </row>
    <row r="90" spans="3:46" x14ac:dyDescent="0.25">
      <c r="C90" s="6">
        <v>2023</v>
      </c>
      <c r="D90" s="6" t="s">
        <v>4</v>
      </c>
      <c r="E90" s="5">
        <v>7142.3</v>
      </c>
      <c r="F90" s="5">
        <v>1069.5</v>
      </c>
      <c r="G90" s="5">
        <v>508</v>
      </c>
      <c r="H90" s="5">
        <v>6380.6</v>
      </c>
      <c r="I90" s="5">
        <v>1854.8</v>
      </c>
      <c r="J90" s="5">
        <v>485</v>
      </c>
      <c r="K90" s="5">
        <v>5226.8999999999996</v>
      </c>
      <c r="L90" s="5">
        <v>1590.9</v>
      </c>
      <c r="M90" s="3">
        <v>1902</v>
      </c>
      <c r="N90" s="37">
        <v>8719.7999999999993</v>
      </c>
      <c r="O90" s="37"/>
      <c r="P90" s="3"/>
      <c r="Q90" s="37"/>
      <c r="AE90" s="2"/>
    </row>
    <row r="91" spans="3:46" x14ac:dyDescent="0.25">
      <c r="C91" s="6">
        <v>2023</v>
      </c>
      <c r="D91" s="6" t="s">
        <v>5</v>
      </c>
      <c r="E91" s="5">
        <v>7556.7</v>
      </c>
      <c r="F91" s="5">
        <v>1136.2</v>
      </c>
      <c r="G91" s="5">
        <v>475.4</v>
      </c>
      <c r="H91" s="5">
        <v>6737.8</v>
      </c>
      <c r="I91" s="5">
        <v>1972.9</v>
      </c>
      <c r="J91" s="5">
        <v>457</v>
      </c>
      <c r="K91" s="5">
        <v>5587.9</v>
      </c>
      <c r="L91" s="5">
        <v>1704.5</v>
      </c>
      <c r="M91" s="5">
        <v>1875.9</v>
      </c>
      <c r="N91" s="37">
        <v>9168.2999999999993</v>
      </c>
      <c r="O91" s="37"/>
      <c r="P91" s="3"/>
      <c r="Q91" s="42"/>
    </row>
    <row r="92" spans="3:46" x14ac:dyDescent="0.25">
      <c r="C92" s="6">
        <v>2023</v>
      </c>
      <c r="D92" s="6" t="s">
        <v>6</v>
      </c>
      <c r="E92" s="5">
        <v>7679.9</v>
      </c>
      <c r="F92" s="5">
        <v>1187.5</v>
      </c>
      <c r="G92" s="5">
        <v>506.2</v>
      </c>
      <c r="H92" s="5">
        <v>6900</v>
      </c>
      <c r="I92" s="5">
        <v>1979.9</v>
      </c>
      <c r="J92" s="5">
        <v>494</v>
      </c>
      <c r="K92" s="5">
        <v>5624.3399999999992</v>
      </c>
      <c r="L92" s="5">
        <v>1687.3019999999999</v>
      </c>
      <c r="M92" s="5">
        <v>2062</v>
      </c>
      <c r="N92" s="37">
        <v>9373.6</v>
      </c>
      <c r="O92" s="37"/>
      <c r="P92" s="3"/>
      <c r="T92" s="26"/>
    </row>
    <row r="93" spans="3:46" x14ac:dyDescent="0.25">
      <c r="C93" s="6">
        <v>2023</v>
      </c>
      <c r="D93" s="6" t="s">
        <v>3</v>
      </c>
      <c r="E93" s="5">
        <v>7755.2</v>
      </c>
      <c r="F93" s="5">
        <v>1192.0999999999999</v>
      </c>
      <c r="G93" s="5">
        <v>478</v>
      </c>
      <c r="H93" s="5">
        <v>7120.7</v>
      </c>
      <c r="I93" s="5">
        <v>1846.3</v>
      </c>
      <c r="J93" s="5">
        <v>458</v>
      </c>
      <c r="K93" s="5">
        <v>5695.9</v>
      </c>
      <c r="L93" s="5">
        <v>1757.1</v>
      </c>
      <c r="M93" s="5">
        <v>1972.3</v>
      </c>
      <c r="N93" s="8">
        <v>9425</v>
      </c>
      <c r="O93" s="37"/>
      <c r="P93" s="5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</row>
    <row r="94" spans="3:46" x14ac:dyDescent="0.25">
      <c r="C94" s="6">
        <v>2024</v>
      </c>
      <c r="D94" s="6" t="s">
        <v>4</v>
      </c>
      <c r="E94" s="5">
        <v>7052.6</v>
      </c>
      <c r="F94" s="5">
        <v>1054.5</v>
      </c>
      <c r="G94" s="5">
        <v>455.9</v>
      </c>
      <c r="H94" s="5">
        <v>6380</v>
      </c>
      <c r="I94" s="5">
        <v>1757.3</v>
      </c>
      <c r="J94" s="5">
        <v>425.7</v>
      </c>
      <c r="K94" s="5">
        <v>5160.6000000000004</v>
      </c>
      <c r="L94" s="5">
        <v>1583</v>
      </c>
      <c r="M94" s="3">
        <v>1819.4</v>
      </c>
      <c r="N94" s="43">
        <v>8563</v>
      </c>
      <c r="O94" s="42"/>
      <c r="P94" s="5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3:46" x14ac:dyDescent="0.25">
      <c r="C95" s="6">
        <v>2024</v>
      </c>
      <c r="D95" s="6" t="s">
        <v>5</v>
      </c>
      <c r="E95" s="5">
        <v>7516</v>
      </c>
      <c r="F95" s="5">
        <v>1129</v>
      </c>
      <c r="G95" s="5">
        <v>468.9</v>
      </c>
      <c r="H95" s="5">
        <v>6816.7</v>
      </c>
      <c r="I95" s="5">
        <v>1842.1</v>
      </c>
      <c r="J95" s="5">
        <v>455</v>
      </c>
      <c r="K95" s="5">
        <v>5528</v>
      </c>
      <c r="L95" s="5">
        <v>1744.5</v>
      </c>
      <c r="M95" s="3">
        <v>1841.4</v>
      </c>
      <c r="N95" s="43">
        <v>9114</v>
      </c>
      <c r="P95" s="5"/>
      <c r="W95" s="6"/>
      <c r="X95" s="6"/>
      <c r="Y95" s="6"/>
      <c r="Z95" s="61"/>
      <c r="AD95" s="2"/>
      <c r="AE95" s="6"/>
      <c r="AF95" s="6"/>
      <c r="AG95" s="6"/>
      <c r="AH95" s="61"/>
      <c r="AI95" s="2"/>
      <c r="AJ95" s="2"/>
      <c r="AK95" s="2"/>
      <c r="AL95" s="2"/>
      <c r="AM95" s="6"/>
      <c r="AN95" s="6"/>
      <c r="AO95" s="6"/>
      <c r="AP95" s="61"/>
      <c r="AQ95" s="2"/>
      <c r="AR95" s="2"/>
      <c r="AS95" s="2"/>
      <c r="AT95" s="2"/>
    </row>
    <row r="96" spans="3:46" x14ac:dyDescent="0.25">
      <c r="C96" s="6">
        <v>2024</v>
      </c>
      <c r="D96" s="6" t="s">
        <v>6</v>
      </c>
      <c r="E96" s="5">
        <v>7442</v>
      </c>
      <c r="F96" s="5">
        <v>1129.5</v>
      </c>
      <c r="G96" s="5">
        <v>502.4</v>
      </c>
      <c r="H96" s="5">
        <v>6691.9</v>
      </c>
      <c r="I96" s="5">
        <v>1893.2</v>
      </c>
      <c r="J96" s="5">
        <v>489</v>
      </c>
      <c r="K96" s="5">
        <v>5514.9726572501495</v>
      </c>
      <c r="L96" s="5">
        <v>1668.722111035248</v>
      </c>
      <c r="M96" s="3">
        <v>1890.4052317146029</v>
      </c>
      <c r="N96" s="43">
        <v>9074</v>
      </c>
      <c r="P96" s="5"/>
      <c r="W96" s="6"/>
      <c r="Z96" s="62"/>
      <c r="AD96" s="2"/>
      <c r="AE96" s="6"/>
      <c r="AF96" s="2"/>
      <c r="AG96" s="2"/>
      <c r="AH96" s="62"/>
      <c r="AI96" s="2"/>
      <c r="AJ96" s="2"/>
      <c r="AK96" s="2"/>
      <c r="AL96" s="2"/>
      <c r="AM96" s="6"/>
      <c r="AN96" s="2"/>
      <c r="AO96" s="2"/>
      <c r="AP96" s="62"/>
    </row>
    <row r="97" spans="2:46" x14ac:dyDescent="0.25">
      <c r="C97" s="6">
        <v>2024</v>
      </c>
      <c r="D97" s="6" t="s">
        <v>3</v>
      </c>
      <c r="E97" s="5">
        <v>7785.3</v>
      </c>
      <c r="F97" s="5">
        <v>1135.7</v>
      </c>
      <c r="G97" s="5">
        <v>476.8</v>
      </c>
      <c r="H97" s="5">
        <v>7071.9</v>
      </c>
      <c r="I97" s="5">
        <v>1871.3</v>
      </c>
      <c r="J97" s="5">
        <v>455</v>
      </c>
      <c r="K97" s="5">
        <v>5678</v>
      </c>
      <c r="L97" s="5">
        <v>1790.4</v>
      </c>
      <c r="M97" s="3">
        <v>1930</v>
      </c>
      <c r="N97" s="43">
        <v>9397.7999999999993</v>
      </c>
      <c r="P97" s="3"/>
      <c r="U97" s="6"/>
      <c r="V97" s="1"/>
      <c r="W97" s="44"/>
      <c r="X97" s="53"/>
      <c r="Y97" s="53"/>
      <c r="Z97" s="44"/>
      <c r="AA97" s="53"/>
      <c r="AB97" s="53"/>
      <c r="AC97" s="63"/>
      <c r="AD97" s="41"/>
      <c r="AE97" s="44"/>
      <c r="AF97" s="53"/>
      <c r="AG97" s="53"/>
      <c r="AH97" s="44"/>
      <c r="AI97" s="53"/>
      <c r="AJ97" s="53"/>
      <c r="AK97" s="63"/>
      <c r="AL97" s="41"/>
      <c r="AM97" s="44"/>
      <c r="AN97" s="53"/>
      <c r="AO97" s="53"/>
      <c r="AP97" s="44"/>
      <c r="AQ97" s="53"/>
      <c r="AR97" s="53"/>
      <c r="AS97" s="63"/>
      <c r="AT97" s="41"/>
    </row>
    <row r="98" spans="2:46" x14ac:dyDescent="0.25">
      <c r="P98" s="3"/>
      <c r="U98" s="6"/>
      <c r="V98" s="1"/>
      <c r="W98" s="44"/>
      <c r="X98" s="53"/>
      <c r="Y98" s="53"/>
      <c r="Z98" s="44"/>
      <c r="AA98" s="53"/>
      <c r="AB98" s="53"/>
      <c r="AC98" s="63"/>
      <c r="AD98" s="41"/>
      <c r="AE98" s="44"/>
      <c r="AF98" s="53"/>
      <c r="AG98" s="53"/>
      <c r="AH98" s="44"/>
      <c r="AI98" s="53"/>
      <c r="AJ98" s="53"/>
      <c r="AK98" s="63"/>
      <c r="AL98" s="41"/>
      <c r="AM98" s="44"/>
      <c r="AN98" s="53"/>
      <c r="AO98" s="53"/>
      <c r="AP98" s="44"/>
      <c r="AQ98" s="53"/>
      <c r="AR98" s="53"/>
      <c r="AS98" s="63"/>
      <c r="AT98" s="41"/>
    </row>
    <row r="99" spans="2:46" x14ac:dyDescent="0.25">
      <c r="P99" s="3"/>
      <c r="U99" s="6"/>
      <c r="V99" s="1"/>
      <c r="W99" s="44"/>
      <c r="X99" s="53"/>
      <c r="Y99" s="53"/>
      <c r="Z99" s="44"/>
      <c r="AA99" s="53"/>
      <c r="AB99" s="53"/>
      <c r="AC99" s="63"/>
      <c r="AD99" s="41"/>
      <c r="AE99" s="44"/>
      <c r="AF99" s="53"/>
      <c r="AG99" s="53"/>
      <c r="AH99" s="44"/>
      <c r="AI99" s="53"/>
      <c r="AJ99" s="53"/>
      <c r="AK99" s="63"/>
      <c r="AL99" s="41"/>
      <c r="AM99" s="44"/>
      <c r="AN99" s="53"/>
      <c r="AO99" s="53"/>
      <c r="AP99" s="44"/>
      <c r="AQ99" s="53"/>
      <c r="AR99" s="53"/>
      <c r="AS99" s="63"/>
      <c r="AT99" s="41"/>
    </row>
    <row r="100" spans="2:46" x14ac:dyDescent="0.25">
      <c r="P100" s="3"/>
      <c r="U100" s="6"/>
      <c r="V100" s="1"/>
      <c r="W100" s="44"/>
      <c r="X100" s="41"/>
      <c r="Y100" s="41"/>
      <c r="Z100" s="44"/>
      <c r="AA100" s="41"/>
      <c r="AB100" s="41"/>
      <c r="AC100" s="63"/>
      <c r="AD100" s="41"/>
      <c r="AE100" s="44"/>
      <c r="AF100" s="41"/>
      <c r="AG100" s="41"/>
      <c r="AH100" s="44"/>
      <c r="AI100" s="41"/>
      <c r="AJ100" s="41"/>
      <c r="AK100" s="63"/>
      <c r="AL100" s="41"/>
      <c r="AM100" s="54"/>
      <c r="AN100" s="41"/>
      <c r="AO100" s="41"/>
      <c r="AP100" s="44"/>
      <c r="AQ100" s="41"/>
      <c r="AR100" s="41"/>
      <c r="AS100" s="63"/>
      <c r="AT100" s="41"/>
    </row>
    <row r="101" spans="2:46" x14ac:dyDescent="0.25">
      <c r="P101" s="3"/>
      <c r="U101" s="6"/>
      <c r="V101" s="1"/>
      <c r="W101" s="44"/>
      <c r="X101" s="53"/>
      <c r="Y101" s="53"/>
      <c r="Z101" s="44"/>
      <c r="AA101" s="53"/>
      <c r="AB101" s="53"/>
      <c r="AC101" s="53"/>
      <c r="AD101" s="41"/>
      <c r="AE101" s="44"/>
      <c r="AF101" s="53"/>
      <c r="AG101" s="53"/>
      <c r="AH101" s="44"/>
      <c r="AI101" s="53"/>
      <c r="AJ101" s="53"/>
      <c r="AK101" s="53"/>
      <c r="AL101" s="41"/>
      <c r="AM101" s="44"/>
      <c r="AN101" s="53"/>
      <c r="AO101" s="53"/>
      <c r="AP101" s="44"/>
      <c r="AQ101" s="53"/>
      <c r="AR101" s="53"/>
      <c r="AS101" s="53"/>
      <c r="AT101" s="41"/>
    </row>
    <row r="102" spans="2:46" x14ac:dyDescent="0.25">
      <c r="P102" s="3"/>
      <c r="U102" s="6"/>
      <c r="V102" s="1"/>
      <c r="W102" s="44"/>
      <c r="X102" s="53"/>
      <c r="Y102" s="53"/>
      <c r="Z102" s="44"/>
      <c r="AA102" s="53"/>
      <c r="AB102" s="53"/>
      <c r="AC102" s="63"/>
      <c r="AD102" s="41"/>
      <c r="AE102" s="44"/>
      <c r="AF102" s="53"/>
      <c r="AG102" s="53"/>
      <c r="AH102" s="44"/>
      <c r="AI102" s="53"/>
      <c r="AJ102" s="53"/>
      <c r="AK102" s="63"/>
      <c r="AL102" s="41"/>
      <c r="AM102" s="44"/>
      <c r="AN102" s="53"/>
      <c r="AO102" s="53"/>
      <c r="AP102" s="44"/>
      <c r="AQ102" s="53"/>
      <c r="AR102" s="53"/>
      <c r="AS102" s="63"/>
      <c r="AT102" s="41"/>
    </row>
    <row r="103" spans="2:46" x14ac:dyDescent="0.25">
      <c r="U103" s="6"/>
      <c r="V103" s="1"/>
      <c r="W103" s="44"/>
      <c r="X103" s="53"/>
      <c r="Y103" s="53"/>
      <c r="Z103" s="44"/>
      <c r="AA103" s="53"/>
      <c r="AB103" s="53"/>
      <c r="AC103" s="63"/>
      <c r="AD103" s="41"/>
      <c r="AE103" s="44"/>
      <c r="AF103" s="53"/>
      <c r="AG103" s="53"/>
      <c r="AH103" s="44"/>
      <c r="AI103" s="53"/>
      <c r="AJ103" s="53"/>
      <c r="AK103" s="63"/>
      <c r="AL103" s="41"/>
      <c r="AM103" s="44"/>
      <c r="AN103" s="53"/>
      <c r="AO103" s="53"/>
      <c r="AP103" s="44"/>
      <c r="AQ103" s="53"/>
      <c r="AR103" s="53"/>
      <c r="AS103" s="63"/>
      <c r="AT103" s="41"/>
    </row>
    <row r="104" spans="2:46" x14ac:dyDescent="0.25">
      <c r="B104" s="2" t="s">
        <v>16</v>
      </c>
      <c r="F104" s="13"/>
      <c r="M104" s="2"/>
      <c r="U104" s="6"/>
      <c r="V104" s="1"/>
      <c r="W104" s="44"/>
      <c r="X104" s="53"/>
      <c r="Y104" s="53"/>
      <c r="Z104" s="44"/>
      <c r="AA104" s="53"/>
      <c r="AB104" s="53"/>
      <c r="AC104" s="63"/>
      <c r="AD104" s="41"/>
      <c r="AE104" s="44"/>
      <c r="AF104" s="53"/>
      <c r="AG104" s="53"/>
      <c r="AH104" s="44"/>
      <c r="AI104" s="53"/>
      <c r="AJ104" s="53"/>
      <c r="AK104" s="63"/>
      <c r="AL104" s="41"/>
      <c r="AM104" s="44"/>
      <c r="AN104" s="53"/>
      <c r="AO104" s="53"/>
      <c r="AP104" s="44"/>
      <c r="AQ104" s="53"/>
      <c r="AR104" s="53"/>
      <c r="AS104" s="63"/>
      <c r="AT104" s="41"/>
    </row>
    <row r="105" spans="2:46" x14ac:dyDescent="0.25">
      <c r="B105" s="4" t="s">
        <v>17</v>
      </c>
      <c r="C105" s="4"/>
      <c r="E105" s="2" t="s">
        <v>71</v>
      </c>
      <c r="U105" s="6"/>
      <c r="V105" s="1"/>
      <c r="W105" s="44"/>
      <c r="X105" s="41"/>
      <c r="Y105" s="41"/>
      <c r="Z105" s="44"/>
      <c r="AA105" s="41"/>
      <c r="AB105" s="41"/>
      <c r="AC105" s="63"/>
      <c r="AD105" s="41"/>
      <c r="AE105" s="44"/>
      <c r="AF105" s="41"/>
      <c r="AG105" s="41"/>
      <c r="AH105" s="44"/>
      <c r="AI105" s="41"/>
      <c r="AJ105" s="41"/>
      <c r="AK105" s="63"/>
      <c r="AL105" s="41"/>
      <c r="AM105" s="54"/>
      <c r="AN105" s="41"/>
      <c r="AO105" s="41"/>
      <c r="AP105" s="44"/>
      <c r="AQ105" s="41"/>
      <c r="AR105" s="41"/>
      <c r="AS105" s="63"/>
      <c r="AT105" s="41"/>
    </row>
    <row r="106" spans="2:46" x14ac:dyDescent="0.25">
      <c r="B106" s="4" t="s">
        <v>18</v>
      </c>
      <c r="C106" s="4"/>
      <c r="E106" s="2" t="s">
        <v>72</v>
      </c>
      <c r="U106" s="6"/>
      <c r="V106" s="1"/>
      <c r="W106" s="44"/>
      <c r="X106" s="53"/>
      <c r="Y106" s="53"/>
      <c r="Z106" s="44"/>
      <c r="AA106" s="53"/>
      <c r="AB106" s="53"/>
      <c r="AC106" s="53"/>
      <c r="AD106" s="41"/>
      <c r="AE106" s="44"/>
      <c r="AF106" s="53"/>
      <c r="AG106" s="53"/>
      <c r="AH106" s="44"/>
      <c r="AI106" s="53"/>
      <c r="AJ106" s="53"/>
      <c r="AK106" s="53"/>
      <c r="AL106" s="41"/>
      <c r="AM106" s="44"/>
      <c r="AN106" s="53"/>
      <c r="AO106" s="53"/>
      <c r="AP106" s="44"/>
      <c r="AQ106" s="53"/>
      <c r="AR106" s="53"/>
      <c r="AS106" s="53"/>
      <c r="AT106" s="41"/>
    </row>
    <row r="107" spans="2:46" x14ac:dyDescent="0.25">
      <c r="B107" s="2" t="s">
        <v>19</v>
      </c>
      <c r="E107" s="2" t="s">
        <v>73</v>
      </c>
      <c r="G107" s="2" t="s">
        <v>20</v>
      </c>
      <c r="H107" s="2" t="s">
        <v>21</v>
      </c>
      <c r="U107" s="6"/>
      <c r="V107" s="1"/>
      <c r="W107" s="44"/>
      <c r="X107" s="53"/>
      <c r="Y107" s="53"/>
      <c r="Z107" s="44"/>
      <c r="AA107" s="53"/>
      <c r="AB107" s="53"/>
      <c r="AC107" s="63"/>
      <c r="AD107" s="41"/>
      <c r="AE107" s="44"/>
      <c r="AF107" s="53"/>
      <c r="AG107" s="53"/>
      <c r="AH107" s="44"/>
      <c r="AI107" s="53"/>
      <c r="AJ107" s="53"/>
      <c r="AK107" s="63"/>
      <c r="AL107" s="41"/>
      <c r="AM107" s="44"/>
      <c r="AN107" s="53"/>
      <c r="AO107" s="53"/>
      <c r="AP107" s="44"/>
      <c r="AQ107" s="53"/>
      <c r="AR107" s="53"/>
      <c r="AS107" s="63"/>
      <c r="AT107" s="41"/>
    </row>
    <row r="108" spans="2:46" x14ac:dyDescent="0.25">
      <c r="B108" s="2" t="s">
        <v>22</v>
      </c>
      <c r="E108" s="2" t="s">
        <v>74</v>
      </c>
      <c r="G108" s="2" t="s">
        <v>23</v>
      </c>
      <c r="H108" s="2" t="s">
        <v>24</v>
      </c>
      <c r="U108" s="6"/>
      <c r="V108" s="1"/>
      <c r="W108" s="44"/>
      <c r="X108" s="53"/>
      <c r="Y108" s="53"/>
      <c r="Z108" s="44"/>
      <c r="AA108" s="53"/>
      <c r="AB108" s="53"/>
      <c r="AC108" s="63"/>
      <c r="AD108" s="41"/>
      <c r="AE108" s="44"/>
      <c r="AF108" s="53"/>
      <c r="AG108" s="53"/>
      <c r="AH108" s="44"/>
      <c r="AI108" s="53"/>
      <c r="AJ108" s="53"/>
      <c r="AK108" s="63"/>
      <c r="AL108" s="41"/>
      <c r="AM108" s="44"/>
      <c r="AN108" s="53"/>
      <c r="AO108" s="53"/>
      <c r="AP108" s="44"/>
      <c r="AQ108" s="53"/>
      <c r="AR108" s="53"/>
      <c r="AS108" s="63"/>
      <c r="AT108" s="41"/>
    </row>
    <row r="109" spans="2:46" x14ac:dyDescent="0.25">
      <c r="B109" s="2" t="s">
        <v>66</v>
      </c>
      <c r="E109" s="2" t="s">
        <v>25</v>
      </c>
      <c r="U109" s="6"/>
      <c r="V109" s="1"/>
      <c r="W109" s="44"/>
      <c r="X109" s="53"/>
      <c r="Y109" s="53"/>
      <c r="Z109" s="44"/>
      <c r="AA109" s="53"/>
      <c r="AB109" s="53"/>
      <c r="AC109" s="63"/>
      <c r="AD109" s="41"/>
      <c r="AE109" s="44"/>
      <c r="AF109" s="53"/>
      <c r="AG109" s="53"/>
      <c r="AH109" s="44"/>
      <c r="AI109" s="53"/>
      <c r="AJ109" s="53"/>
      <c r="AK109" s="63"/>
      <c r="AL109" s="41"/>
      <c r="AM109" s="44"/>
      <c r="AN109" s="53"/>
      <c r="AO109" s="53"/>
      <c r="AP109" s="44"/>
      <c r="AQ109" s="53"/>
      <c r="AR109" s="53"/>
      <c r="AS109" s="63"/>
      <c r="AT109" s="41"/>
    </row>
    <row r="110" spans="2:46" x14ac:dyDescent="0.25">
      <c r="B110" s="2" t="s">
        <v>67</v>
      </c>
      <c r="E110" s="2" t="s">
        <v>26</v>
      </c>
      <c r="H110" s="2" t="s">
        <v>27</v>
      </c>
      <c r="U110" s="6"/>
      <c r="V110" s="1"/>
      <c r="W110" s="44"/>
      <c r="X110" s="41"/>
      <c r="Y110" s="41"/>
      <c r="Z110" s="44"/>
      <c r="AA110" s="41"/>
      <c r="AB110" s="41"/>
      <c r="AC110" s="63"/>
      <c r="AD110" s="41"/>
      <c r="AE110" s="44"/>
      <c r="AF110" s="41"/>
      <c r="AG110" s="41"/>
      <c r="AH110" s="44"/>
      <c r="AI110" s="41"/>
      <c r="AJ110" s="41"/>
      <c r="AK110" s="63"/>
      <c r="AL110" s="41"/>
      <c r="AM110" s="54"/>
      <c r="AN110" s="41"/>
      <c r="AO110" s="41"/>
      <c r="AP110" s="44"/>
      <c r="AQ110" s="41"/>
      <c r="AR110" s="41"/>
      <c r="AS110" s="63"/>
      <c r="AT110" s="41"/>
    </row>
    <row r="111" spans="2:46" x14ac:dyDescent="0.25">
      <c r="B111" s="2" t="s">
        <v>68</v>
      </c>
      <c r="E111" s="2" t="s">
        <v>26</v>
      </c>
      <c r="W111" s="44"/>
      <c r="X111" s="41"/>
      <c r="Y111" s="41"/>
      <c r="Z111" s="44"/>
      <c r="AA111" s="41"/>
      <c r="AB111" s="41"/>
      <c r="AC111" s="41"/>
      <c r="AD111" s="41"/>
      <c r="AE111" s="44"/>
      <c r="AF111" s="41"/>
      <c r="AG111" s="41"/>
      <c r="AH111" s="44"/>
      <c r="AI111" s="41"/>
      <c r="AJ111" s="41"/>
      <c r="AK111" s="41"/>
      <c r="AL111" s="41"/>
      <c r="AM111" s="54"/>
      <c r="AN111" s="41"/>
      <c r="AO111" s="41"/>
      <c r="AP111" s="44"/>
      <c r="AQ111" s="41"/>
      <c r="AR111" s="41"/>
      <c r="AS111" s="41"/>
      <c r="AT111" s="41"/>
    </row>
    <row r="112" spans="2:46" x14ac:dyDescent="0.25">
      <c r="B112" s="2" t="s">
        <v>69</v>
      </c>
      <c r="E112" s="2" t="s">
        <v>28</v>
      </c>
      <c r="U112" s="6"/>
      <c r="V112" s="44"/>
      <c r="W112" s="44"/>
      <c r="X112" s="41"/>
      <c r="Y112" s="41"/>
      <c r="Z112" s="44"/>
      <c r="AA112" s="41"/>
      <c r="AB112" s="44"/>
      <c r="AC112" s="63"/>
      <c r="AD112" s="41"/>
      <c r="AE112" s="44"/>
      <c r="AF112" s="41"/>
      <c r="AG112" s="41"/>
      <c r="AH112" s="41"/>
      <c r="AI112" s="54"/>
      <c r="AJ112" s="44"/>
      <c r="AK112" s="63"/>
      <c r="AL112" s="41"/>
      <c r="AM112" s="44"/>
      <c r="AN112" s="41"/>
      <c r="AO112" s="41"/>
      <c r="AR112" s="44"/>
      <c r="AS112" s="63"/>
      <c r="AT112" s="41"/>
    </row>
    <row r="113" spans="2:61" x14ac:dyDescent="0.25">
      <c r="H113" s="5"/>
      <c r="I113" s="5"/>
      <c r="J113" s="5"/>
      <c r="K113" s="5"/>
      <c r="L113" s="5"/>
      <c r="U113" s="6"/>
      <c r="V113" s="1"/>
      <c r="AE113" s="64"/>
      <c r="AJ113" s="64"/>
    </row>
    <row r="114" spans="2:61" x14ac:dyDescent="0.25">
      <c r="B114" s="14" t="s">
        <v>29</v>
      </c>
      <c r="W114" s="6"/>
      <c r="AE114" s="64"/>
    </row>
    <row r="115" spans="2:61" x14ac:dyDescent="0.25">
      <c r="B115" s="15" t="s">
        <v>30</v>
      </c>
      <c r="W115" s="62"/>
      <c r="AM115" s="11"/>
      <c r="AN115" s="11"/>
      <c r="AO115" s="2"/>
      <c r="AP115" s="2"/>
      <c r="AQ115" s="2"/>
      <c r="AR115" s="2"/>
      <c r="AS115" s="2"/>
      <c r="AU115" s="11"/>
      <c r="AV115" s="11"/>
      <c r="AW115" s="2"/>
      <c r="AX115" s="2"/>
      <c r="AY115" s="2"/>
      <c r="AZ115" s="2"/>
      <c r="BA115" s="2"/>
    </row>
    <row r="116" spans="2:61" x14ac:dyDescent="0.25">
      <c r="AM116" s="11"/>
      <c r="AN116" s="11"/>
      <c r="AO116" s="2"/>
      <c r="AP116" s="2"/>
      <c r="AQ116" s="2"/>
      <c r="AR116" s="2"/>
      <c r="AS116" s="2"/>
      <c r="AU116" s="11"/>
      <c r="AV116" s="11"/>
      <c r="AW116" s="2"/>
      <c r="AX116" s="2"/>
      <c r="AY116" s="2"/>
      <c r="AZ116" s="2"/>
      <c r="BA116" s="2"/>
    </row>
    <row r="117" spans="2:61" x14ac:dyDescent="0.25">
      <c r="AM117" s="11"/>
      <c r="AN117" s="11"/>
      <c r="AO117" s="2"/>
      <c r="AP117" s="2"/>
      <c r="AQ117" s="2"/>
      <c r="AR117" s="2"/>
      <c r="AS117" s="2"/>
      <c r="AU117" s="11"/>
      <c r="AV117" s="11"/>
      <c r="AW117" s="2"/>
      <c r="AX117" s="2"/>
      <c r="AY117" s="2"/>
      <c r="AZ117" s="2"/>
      <c r="BA117" s="2"/>
    </row>
    <row r="118" spans="2:61" x14ac:dyDescent="0.25">
      <c r="B118" s="71" t="s">
        <v>31</v>
      </c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T118" s="65"/>
      <c r="W118" s="11"/>
      <c r="X118" s="11"/>
      <c r="AE118" s="11"/>
      <c r="AF118" s="11"/>
      <c r="AG118" s="2"/>
      <c r="AH118" s="2"/>
      <c r="AI118" s="2"/>
      <c r="AJ118" s="2"/>
      <c r="AK118" s="2"/>
      <c r="AM118" s="11"/>
      <c r="AN118" s="11"/>
      <c r="AO118" s="2"/>
      <c r="AP118" s="2"/>
      <c r="AQ118" s="2"/>
      <c r="AR118" s="2"/>
      <c r="AS118" s="2"/>
      <c r="AU118" s="11"/>
      <c r="AV118" s="11"/>
      <c r="AW118" s="2"/>
      <c r="AX118" s="2"/>
      <c r="AY118" s="2"/>
      <c r="AZ118" s="2"/>
      <c r="BA118" s="2"/>
      <c r="BC118" s="11"/>
      <c r="BD118" s="11"/>
      <c r="BE118" s="2"/>
      <c r="BF118" s="2"/>
      <c r="BG118" s="2"/>
      <c r="BH118" s="2"/>
      <c r="BI118" s="2"/>
    </row>
    <row r="119" spans="2:61" x14ac:dyDescent="0.25"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W119" s="11"/>
      <c r="X119" s="26"/>
      <c r="Y119"/>
      <c r="AA119" s="11"/>
      <c r="AB119" s="11"/>
      <c r="AC119" s="66"/>
      <c r="AE119" s="11"/>
      <c r="AF119" s="26"/>
      <c r="AH119" s="2"/>
      <c r="AI119" s="11"/>
      <c r="AJ119" s="11"/>
      <c r="AK119" s="66"/>
      <c r="AM119" s="11"/>
      <c r="AN119" s="26"/>
      <c r="AP119" s="2"/>
      <c r="AQ119" s="11"/>
      <c r="AR119" s="11"/>
      <c r="AS119" s="66"/>
      <c r="AU119" s="11"/>
      <c r="AV119" s="26"/>
      <c r="AX119" s="2"/>
      <c r="AY119" s="11"/>
      <c r="AZ119" s="11"/>
      <c r="BA119" s="66"/>
      <c r="BC119" s="11"/>
      <c r="BD119" s="26"/>
      <c r="BF119" s="2"/>
      <c r="BG119" s="11"/>
      <c r="BH119" s="11"/>
      <c r="BI119" s="66"/>
    </row>
    <row r="120" spans="2:61" x14ac:dyDescent="0.25"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X120" s="6"/>
      <c r="Y120" s="1"/>
      <c r="AA120" s="3"/>
      <c r="AB120" s="3"/>
      <c r="AC120" s="3"/>
      <c r="AE120" s="2"/>
      <c r="AF120" s="6"/>
      <c r="AG120" s="1"/>
      <c r="AH120" s="2"/>
      <c r="AI120" s="3"/>
      <c r="AJ120" s="3"/>
      <c r="AK120" s="3"/>
      <c r="AM120" s="2"/>
      <c r="AN120" s="6"/>
      <c r="AO120" s="1"/>
      <c r="AP120" s="2"/>
      <c r="AQ120" s="3"/>
      <c r="AR120" s="3"/>
      <c r="AS120" s="3"/>
      <c r="AU120" s="2"/>
      <c r="AV120" s="6"/>
      <c r="AW120" s="1"/>
      <c r="AX120" s="2"/>
      <c r="AY120" s="3"/>
      <c r="AZ120" s="3"/>
      <c r="BA120" s="3"/>
      <c r="BC120" s="2"/>
      <c r="BD120" s="6"/>
      <c r="BE120" s="1"/>
      <c r="BF120" s="2"/>
      <c r="BG120" s="3"/>
      <c r="BH120" s="3"/>
      <c r="BI120" s="3"/>
    </row>
    <row r="121" spans="2:61" x14ac:dyDescent="0.25">
      <c r="X121"/>
      <c r="Y121"/>
      <c r="AA121" s="3"/>
      <c r="AB121" s="3"/>
      <c r="AC121" s="3"/>
      <c r="AE121" s="2"/>
      <c r="AH121" s="2"/>
      <c r="AI121" s="3"/>
      <c r="AJ121" s="3"/>
      <c r="AK121" s="3"/>
      <c r="AM121" s="2"/>
      <c r="AP121" s="2"/>
      <c r="AQ121" s="3"/>
      <c r="AR121" s="3"/>
      <c r="AS121" s="3"/>
      <c r="AU121" s="2"/>
      <c r="AX121" s="2"/>
      <c r="AY121" s="3"/>
      <c r="AZ121" s="3"/>
      <c r="BA121" s="3"/>
      <c r="BC121" s="2"/>
      <c r="BF121" s="2"/>
      <c r="BG121" s="3"/>
      <c r="BH121" s="3"/>
      <c r="BI121" s="3"/>
    </row>
    <row r="122" spans="2:61" x14ac:dyDescent="0.25">
      <c r="X122"/>
      <c r="Y122"/>
      <c r="AA122" s="3"/>
      <c r="AB122" s="3"/>
      <c r="AC122" s="3"/>
      <c r="AE122" s="2"/>
      <c r="AH122" s="2"/>
      <c r="AI122" s="3"/>
      <c r="AJ122" s="3"/>
      <c r="AK122" s="3"/>
      <c r="AM122" s="2"/>
      <c r="AP122" s="2"/>
      <c r="AQ122" s="3"/>
      <c r="AR122" s="3"/>
      <c r="AS122" s="3"/>
      <c r="AU122" s="2"/>
      <c r="AX122" s="2"/>
      <c r="AY122" s="3"/>
      <c r="AZ122" s="3"/>
      <c r="BA122" s="3"/>
      <c r="BC122" s="2"/>
      <c r="BF122" s="2"/>
      <c r="BG122" s="3"/>
      <c r="BH122" s="3"/>
      <c r="BI122" s="3"/>
    </row>
    <row r="123" spans="2:61" x14ac:dyDescent="0.25">
      <c r="X123" s="6"/>
      <c r="Y123" s="1"/>
      <c r="AA123" s="3"/>
      <c r="AB123" s="3"/>
      <c r="AC123" s="3"/>
      <c r="AE123" s="2"/>
      <c r="AF123" s="6"/>
      <c r="AG123" s="1"/>
      <c r="AH123" s="2"/>
      <c r="AI123" s="3"/>
      <c r="AJ123" s="3"/>
      <c r="AK123" s="3"/>
      <c r="AM123" s="2"/>
      <c r="AN123" s="6"/>
      <c r="AO123" s="1"/>
      <c r="AP123" s="2"/>
      <c r="AQ123" s="3"/>
      <c r="AR123" s="3"/>
      <c r="AS123" s="3"/>
      <c r="AU123" s="2"/>
      <c r="AV123" s="6"/>
      <c r="AW123" s="1"/>
      <c r="AX123" s="2"/>
      <c r="AY123" s="3"/>
      <c r="AZ123" s="3"/>
      <c r="BA123" s="3"/>
      <c r="BC123" s="2"/>
      <c r="BD123" s="6"/>
      <c r="BE123" s="1"/>
      <c r="BF123" s="2"/>
      <c r="BG123" s="3"/>
      <c r="BH123" s="3"/>
      <c r="BI123" s="3"/>
    </row>
    <row r="124" spans="2:61" x14ac:dyDescent="0.25">
      <c r="X124" s="6"/>
      <c r="Y124" s="1"/>
      <c r="AA124" s="3"/>
      <c r="AB124" s="3"/>
      <c r="AC124" s="3"/>
      <c r="AE124" s="2"/>
      <c r="AF124" s="6"/>
      <c r="AG124" s="1"/>
      <c r="AH124" s="2"/>
      <c r="AI124" s="3"/>
      <c r="AJ124" s="3"/>
      <c r="AK124" s="3"/>
      <c r="AM124" s="2"/>
      <c r="AN124" s="6"/>
      <c r="AO124" s="1"/>
      <c r="AP124" s="2"/>
      <c r="AQ124" s="3"/>
      <c r="AR124" s="3"/>
      <c r="AS124" s="3"/>
      <c r="AU124" s="2"/>
      <c r="AV124" s="6"/>
      <c r="AW124" s="1"/>
      <c r="AX124" s="2"/>
      <c r="AY124" s="3"/>
      <c r="AZ124" s="3"/>
      <c r="BA124" s="3"/>
      <c r="BC124" s="2"/>
      <c r="BD124" s="6"/>
      <c r="BE124" s="1"/>
      <c r="BF124" s="2"/>
      <c r="BG124" s="3"/>
      <c r="BH124" s="3"/>
      <c r="BI124" s="3"/>
    </row>
    <row r="125" spans="2:61" x14ac:dyDescent="0.25">
      <c r="X125" s="6"/>
      <c r="Y125" s="1"/>
      <c r="AA125" s="3"/>
      <c r="AB125" s="3"/>
      <c r="AC125" s="3"/>
      <c r="AE125" s="2"/>
      <c r="AF125" s="6"/>
      <c r="AG125" s="1"/>
      <c r="AH125" s="2"/>
      <c r="AI125" s="3"/>
      <c r="AJ125" s="3"/>
      <c r="AK125" s="3"/>
      <c r="AM125" s="2"/>
      <c r="AN125" s="6"/>
      <c r="AO125" s="1"/>
      <c r="AP125" s="2"/>
      <c r="AQ125" s="3"/>
      <c r="AR125" s="3"/>
      <c r="AS125" s="3"/>
      <c r="AU125" s="2"/>
      <c r="AV125" s="6"/>
      <c r="AW125" s="1"/>
      <c r="AX125" s="2"/>
      <c r="AY125" s="3"/>
      <c r="AZ125" s="3"/>
      <c r="BA125" s="3"/>
      <c r="BC125" s="2"/>
      <c r="BD125" s="6"/>
      <c r="BE125" s="1"/>
      <c r="BF125" s="2"/>
      <c r="BG125" s="3"/>
      <c r="BH125" s="3"/>
      <c r="BI125" s="3"/>
    </row>
    <row r="126" spans="2:61" x14ac:dyDescent="0.25">
      <c r="X126" s="6"/>
      <c r="Y126" s="1"/>
      <c r="AA126" s="3"/>
      <c r="AB126" s="3"/>
      <c r="AC126" s="3"/>
      <c r="AE126" s="2"/>
      <c r="AF126" s="6"/>
      <c r="AG126" s="1"/>
      <c r="AH126" s="2"/>
      <c r="AI126" s="3"/>
      <c r="AJ126" s="3"/>
      <c r="AK126" s="3"/>
      <c r="AM126" s="2"/>
      <c r="AN126" s="6"/>
      <c r="AO126" s="1"/>
      <c r="AP126" s="2"/>
      <c r="AQ126" s="3"/>
      <c r="AR126" s="3"/>
      <c r="AS126" s="3"/>
      <c r="AU126" s="2"/>
      <c r="AV126" s="6"/>
      <c r="AW126" s="1"/>
      <c r="AX126" s="2"/>
      <c r="AY126" s="3"/>
      <c r="AZ126" s="3"/>
      <c r="BA126" s="3"/>
      <c r="BC126" s="2"/>
      <c r="BD126" s="6"/>
      <c r="BE126" s="1"/>
      <c r="BF126" s="2"/>
      <c r="BG126" s="3"/>
      <c r="BH126" s="3"/>
      <c r="BI126" s="3"/>
    </row>
    <row r="127" spans="2:61" x14ac:dyDescent="0.25">
      <c r="X127" s="6"/>
      <c r="Y127" s="1"/>
      <c r="AA127" s="3"/>
      <c r="AB127" s="3"/>
      <c r="AC127" s="3"/>
      <c r="AE127" s="2"/>
      <c r="AF127" s="6"/>
      <c r="AG127" s="1"/>
      <c r="AH127" s="2"/>
      <c r="AI127" s="3"/>
      <c r="AJ127" s="3"/>
      <c r="AK127" s="3"/>
      <c r="AM127" s="2"/>
      <c r="AN127" s="6"/>
      <c r="AO127" s="1"/>
      <c r="AP127" s="2"/>
      <c r="AQ127" s="3"/>
      <c r="AR127" s="3"/>
      <c r="AS127" s="3"/>
      <c r="AU127" s="2"/>
      <c r="AV127" s="6"/>
      <c r="AW127" s="1"/>
      <c r="AX127" s="2"/>
      <c r="AY127" s="3"/>
      <c r="AZ127" s="3"/>
      <c r="BA127" s="3"/>
      <c r="BC127" s="2"/>
      <c r="BD127" s="6"/>
      <c r="BE127" s="1"/>
      <c r="BF127" s="2"/>
      <c r="BG127" s="3"/>
      <c r="BH127" s="3"/>
      <c r="BI127" s="3"/>
    </row>
    <row r="128" spans="2:61" x14ac:dyDescent="0.25">
      <c r="X128" s="6"/>
      <c r="Y128" s="1"/>
      <c r="AA128" s="3"/>
      <c r="AB128" s="3"/>
      <c r="AC128" s="3"/>
      <c r="AE128" s="2"/>
      <c r="AF128" s="6"/>
      <c r="AG128" s="1"/>
      <c r="AH128" s="2"/>
      <c r="AI128" s="3"/>
      <c r="AJ128" s="3"/>
      <c r="AK128" s="3"/>
      <c r="AM128" s="2"/>
      <c r="AN128" s="6"/>
      <c r="AO128" s="1"/>
      <c r="AP128" s="2"/>
      <c r="AQ128" s="3"/>
      <c r="AR128" s="3"/>
      <c r="AS128" s="3"/>
      <c r="AU128" s="2"/>
      <c r="AV128" s="6"/>
      <c r="AW128" s="1"/>
      <c r="AX128" s="2"/>
      <c r="AY128" s="3"/>
      <c r="AZ128" s="3"/>
      <c r="BA128" s="3"/>
      <c r="BC128" s="2"/>
      <c r="BD128" s="6"/>
      <c r="BE128" s="1"/>
      <c r="BF128" s="2"/>
      <c r="BG128" s="3"/>
      <c r="BH128" s="3"/>
      <c r="BI128" s="3"/>
    </row>
    <row r="129" spans="23:61" x14ac:dyDescent="0.25">
      <c r="X129" s="6"/>
      <c r="Y129" s="1"/>
      <c r="AA129" s="3"/>
      <c r="AB129" s="3"/>
      <c r="AC129" s="3"/>
      <c r="AE129" s="2"/>
      <c r="AF129" s="6"/>
      <c r="AG129" s="1"/>
      <c r="AH129" s="2"/>
      <c r="AI129" s="3"/>
      <c r="AJ129" s="3"/>
      <c r="AK129" s="3"/>
      <c r="AM129" s="2"/>
      <c r="AN129" s="6"/>
      <c r="AO129" s="1"/>
      <c r="AP129" s="2"/>
      <c r="AQ129" s="3"/>
      <c r="AR129" s="3"/>
      <c r="AS129" s="3"/>
      <c r="AU129" s="2"/>
      <c r="AV129" s="6"/>
      <c r="AW129" s="1"/>
      <c r="AX129" s="2"/>
      <c r="AY129" s="3"/>
      <c r="AZ129" s="3"/>
      <c r="BA129" s="3"/>
      <c r="BC129" s="2"/>
      <c r="BD129" s="6"/>
      <c r="BE129" s="1"/>
      <c r="BF129" s="2"/>
      <c r="BG129" s="3"/>
      <c r="BH129" s="3"/>
      <c r="BI129" s="3"/>
    </row>
    <row r="130" spans="23:61" x14ac:dyDescent="0.25">
      <c r="X130" s="6"/>
      <c r="Y130" s="1"/>
      <c r="AA130" s="3"/>
      <c r="AB130" s="3"/>
      <c r="AC130" s="3"/>
      <c r="AE130" s="2"/>
      <c r="AF130" s="6"/>
      <c r="AG130" s="1"/>
      <c r="AH130" s="2"/>
      <c r="AI130" s="3"/>
      <c r="AJ130" s="3"/>
      <c r="AK130" s="3"/>
      <c r="AM130" s="2"/>
      <c r="AN130" s="6"/>
      <c r="AO130" s="1"/>
      <c r="AP130" s="2"/>
      <c r="AQ130" s="3"/>
      <c r="AR130" s="3"/>
      <c r="AS130" s="3"/>
      <c r="AU130" s="2"/>
      <c r="AV130" s="6"/>
      <c r="AW130" s="1"/>
      <c r="AX130" s="2"/>
      <c r="AY130" s="3"/>
      <c r="AZ130" s="3"/>
      <c r="BA130" s="3"/>
      <c r="BC130" s="2"/>
      <c r="BD130" s="6"/>
      <c r="BE130" s="1"/>
      <c r="BF130" s="2"/>
      <c r="BG130" s="3"/>
      <c r="BH130" s="3"/>
      <c r="BI130" s="3"/>
    </row>
    <row r="131" spans="23:61" x14ac:dyDescent="0.25">
      <c r="X131" s="6"/>
      <c r="Y131" s="1"/>
      <c r="AA131" s="3"/>
      <c r="AB131" s="3"/>
      <c r="AC131" s="3"/>
      <c r="AE131" s="2"/>
      <c r="AF131" s="6"/>
      <c r="AG131" s="1"/>
      <c r="AH131" s="2"/>
      <c r="AI131" s="3"/>
      <c r="AJ131" s="3"/>
      <c r="AK131" s="3"/>
      <c r="AM131" s="2"/>
      <c r="AN131" s="6"/>
      <c r="AO131" s="1"/>
      <c r="AP131" s="2"/>
      <c r="AQ131" s="3"/>
      <c r="AR131" s="3"/>
      <c r="AS131" s="3"/>
      <c r="AU131" s="2"/>
      <c r="AV131" s="6"/>
      <c r="AW131" s="1"/>
      <c r="AX131" s="2"/>
      <c r="AY131" s="3"/>
      <c r="AZ131" s="3"/>
      <c r="BA131" s="3"/>
      <c r="BC131" s="2"/>
      <c r="BD131" s="6"/>
      <c r="BE131" s="1"/>
      <c r="BF131" s="2"/>
      <c r="BG131" s="3"/>
      <c r="BH131" s="3"/>
      <c r="BI131" s="3"/>
    </row>
    <row r="132" spans="23:61" x14ac:dyDescent="0.25">
      <c r="X132" s="6"/>
      <c r="Y132" s="1"/>
      <c r="AA132" s="3"/>
      <c r="AB132" s="3"/>
      <c r="AC132" s="3"/>
      <c r="AE132" s="2"/>
      <c r="AF132" s="6"/>
      <c r="AG132" s="1"/>
      <c r="AH132" s="2"/>
      <c r="AI132" s="3"/>
      <c r="AJ132" s="3"/>
      <c r="AK132" s="3"/>
      <c r="AM132" s="2"/>
      <c r="AN132" s="6"/>
      <c r="AO132" s="1"/>
      <c r="AP132" s="2"/>
      <c r="AQ132" s="3"/>
      <c r="AR132" s="3"/>
      <c r="AS132" s="3"/>
      <c r="AU132" s="2"/>
      <c r="AV132" s="6"/>
      <c r="AW132" s="1"/>
      <c r="AX132" s="2"/>
      <c r="AY132" s="3"/>
      <c r="AZ132" s="3"/>
      <c r="BA132" s="3"/>
      <c r="BC132" s="2"/>
      <c r="BD132" s="6"/>
      <c r="BE132" s="1"/>
      <c r="BF132" s="2"/>
      <c r="BG132" s="3"/>
      <c r="BH132" s="3"/>
      <c r="BI132" s="3"/>
    </row>
    <row r="133" spans="23:61" x14ac:dyDescent="0.25">
      <c r="X133"/>
      <c r="Y133"/>
      <c r="AA133" s="3"/>
      <c r="AB133" s="3"/>
      <c r="AC133" s="3"/>
      <c r="AE133" s="2"/>
      <c r="AH133" s="2"/>
      <c r="AI133" s="3"/>
      <c r="AJ133" s="3"/>
      <c r="AK133" s="3"/>
      <c r="AM133" s="2"/>
      <c r="AP133" s="2"/>
      <c r="AQ133" s="3"/>
      <c r="AR133" s="3"/>
      <c r="AS133" s="3"/>
      <c r="AU133" s="2"/>
      <c r="AX133" s="2"/>
      <c r="AY133" s="3"/>
      <c r="AZ133" s="3"/>
      <c r="BA133" s="3"/>
      <c r="BC133" s="2"/>
      <c r="BF133" s="2"/>
      <c r="BG133" s="3"/>
      <c r="BH133" s="3"/>
      <c r="BI133" s="3"/>
    </row>
    <row r="134" spans="23:61" x14ac:dyDescent="0.25">
      <c r="X134"/>
      <c r="Y134"/>
      <c r="AA134" s="3"/>
      <c r="AB134" s="3"/>
      <c r="AC134" s="3"/>
      <c r="AE134" s="2"/>
      <c r="AH134" s="2"/>
      <c r="AI134" s="3"/>
      <c r="AJ134" s="3"/>
      <c r="AK134" s="3"/>
      <c r="AM134" s="2"/>
      <c r="AP134" s="2"/>
      <c r="AQ134" s="3"/>
      <c r="AR134" s="3"/>
      <c r="AS134" s="3"/>
      <c r="AU134" s="2"/>
      <c r="AX134" s="2"/>
      <c r="AY134" s="3"/>
      <c r="AZ134" s="3"/>
      <c r="BA134" s="3"/>
      <c r="BC134" s="2"/>
      <c r="BF134" s="2"/>
      <c r="BG134" s="3"/>
      <c r="BH134" s="3"/>
      <c r="BI134" s="3"/>
    </row>
    <row r="135" spans="23:61" x14ac:dyDescent="0.25">
      <c r="X135" s="6"/>
      <c r="Y135" s="1"/>
      <c r="AA135" s="3"/>
      <c r="AB135" s="3"/>
      <c r="AC135" s="3"/>
      <c r="AE135" s="2"/>
      <c r="AF135" s="6"/>
      <c r="AG135" s="1"/>
      <c r="AH135" s="2"/>
      <c r="AI135" s="3"/>
      <c r="AJ135" s="3"/>
      <c r="AK135" s="3"/>
      <c r="AM135" s="2"/>
      <c r="AN135" s="6"/>
      <c r="AO135" s="1"/>
      <c r="AP135" s="2"/>
      <c r="AQ135" s="3"/>
      <c r="AR135" s="3"/>
      <c r="AS135" s="3"/>
      <c r="AU135" s="2"/>
      <c r="AV135" s="6"/>
      <c r="AW135" s="1"/>
      <c r="AX135" s="2"/>
      <c r="AY135" s="3"/>
      <c r="AZ135" s="3"/>
      <c r="BA135" s="3"/>
      <c r="BC135" s="2"/>
      <c r="BD135" s="6"/>
      <c r="BE135" s="1"/>
      <c r="BF135" s="2"/>
      <c r="BG135" s="3"/>
      <c r="BH135" s="3"/>
      <c r="BI135" s="3"/>
    </row>
    <row r="136" spans="23:61" x14ac:dyDescent="0.25">
      <c r="X136"/>
      <c r="Y136"/>
      <c r="AA136" s="3"/>
      <c r="AB136" s="3"/>
      <c r="AC136" s="3"/>
      <c r="AE136" s="2"/>
      <c r="AH136" s="2"/>
      <c r="AI136" s="3"/>
      <c r="AJ136" s="3"/>
      <c r="AK136" s="3"/>
      <c r="AM136" s="2"/>
      <c r="AP136" s="2"/>
      <c r="AQ136" s="3"/>
      <c r="AR136" s="3"/>
      <c r="AS136" s="3"/>
      <c r="AU136" s="2"/>
      <c r="AX136" s="2"/>
      <c r="AY136" s="3"/>
      <c r="AZ136" s="3"/>
      <c r="BA136" s="3"/>
      <c r="BC136" s="2"/>
      <c r="BF136" s="2"/>
      <c r="BG136" s="3"/>
      <c r="BH136" s="3"/>
      <c r="BI136" s="3"/>
    </row>
    <row r="137" spans="23:61" x14ac:dyDescent="0.25">
      <c r="X137"/>
      <c r="Y137"/>
      <c r="AA137" s="3"/>
      <c r="AB137" s="3"/>
      <c r="AC137" s="3"/>
      <c r="AE137" s="2"/>
      <c r="AH137" s="2"/>
      <c r="AI137" s="3"/>
      <c r="AJ137" s="3"/>
      <c r="AK137" s="3"/>
      <c r="AM137" s="2"/>
      <c r="AP137" s="2"/>
      <c r="AQ137" s="3"/>
      <c r="AR137" s="3"/>
      <c r="AS137" s="3"/>
      <c r="AU137" s="2"/>
      <c r="AX137" s="2"/>
      <c r="AY137" s="3"/>
      <c r="AZ137" s="3"/>
      <c r="BA137" s="3"/>
      <c r="BC137" s="2"/>
      <c r="BF137" s="2"/>
      <c r="BG137" s="3"/>
      <c r="BH137" s="3"/>
      <c r="BI137" s="3"/>
    </row>
    <row r="138" spans="23:61" x14ac:dyDescent="0.25">
      <c r="X138" s="6"/>
      <c r="Y138" s="1"/>
      <c r="AA138" s="3"/>
      <c r="AB138" s="3"/>
      <c r="AC138" s="3"/>
      <c r="AE138" s="2"/>
      <c r="AF138" s="6"/>
      <c r="AG138" s="1"/>
      <c r="AH138" s="2"/>
      <c r="AI138" s="3"/>
      <c r="AJ138" s="3"/>
      <c r="AK138" s="3"/>
      <c r="AM138" s="2"/>
      <c r="AN138" s="6"/>
      <c r="AO138" s="1"/>
      <c r="AP138" s="2"/>
      <c r="AQ138" s="3"/>
      <c r="AR138" s="3"/>
      <c r="AS138" s="3"/>
      <c r="AU138" s="2"/>
      <c r="AV138" s="6"/>
      <c r="AW138" s="1"/>
      <c r="AX138" s="2"/>
      <c r="AY138" s="3"/>
      <c r="AZ138" s="3"/>
      <c r="BA138" s="3"/>
      <c r="BC138" s="2"/>
      <c r="BD138" s="6"/>
      <c r="BE138" s="1"/>
      <c r="BF138" s="2"/>
      <c r="BG138" s="3"/>
      <c r="BH138" s="3"/>
      <c r="BI138" s="3"/>
    </row>
    <row r="139" spans="23:61" x14ac:dyDescent="0.25">
      <c r="X139"/>
      <c r="Y139"/>
      <c r="AA139" s="3"/>
      <c r="AB139" s="3"/>
      <c r="AC139" s="3"/>
      <c r="AE139" s="2"/>
      <c r="AH139" s="2"/>
      <c r="AI139" s="3"/>
      <c r="AJ139" s="3"/>
      <c r="AK139" s="3"/>
      <c r="AM139" s="2"/>
      <c r="AP139" s="2"/>
      <c r="AQ139" s="3"/>
      <c r="AR139" s="3"/>
      <c r="AS139" s="3"/>
      <c r="AU139" s="2"/>
      <c r="AX139" s="2"/>
      <c r="AY139" s="3"/>
      <c r="AZ139" s="3"/>
      <c r="BA139" s="3"/>
      <c r="BC139" s="2"/>
      <c r="BF139" s="2"/>
      <c r="BG139" s="3"/>
      <c r="BH139" s="3"/>
      <c r="BI139" s="3"/>
    </row>
    <row r="140" spans="23:61" x14ac:dyDescent="0.25">
      <c r="X140"/>
      <c r="Y140"/>
      <c r="AA140" s="3"/>
      <c r="AB140" s="3"/>
      <c r="AC140" s="3"/>
      <c r="AE140" s="2"/>
      <c r="AH140" s="2"/>
      <c r="AI140" s="3"/>
      <c r="AJ140" s="3"/>
      <c r="AK140" s="3"/>
      <c r="AM140" s="2"/>
      <c r="AP140" s="2"/>
      <c r="AQ140" s="3"/>
      <c r="AR140" s="3"/>
      <c r="AS140" s="3"/>
      <c r="AU140" s="2"/>
      <c r="AX140" s="2"/>
      <c r="AY140" s="3"/>
      <c r="AZ140" s="3"/>
      <c r="BA140" s="3"/>
      <c r="BC140" s="2"/>
      <c r="BF140" s="2"/>
      <c r="BG140" s="3"/>
      <c r="BH140" s="3"/>
      <c r="BI140" s="3"/>
    </row>
    <row r="141" spans="23:61" x14ac:dyDescent="0.25">
      <c r="X141" s="6"/>
      <c r="Y141" s="1"/>
      <c r="AA141" s="3"/>
      <c r="AB141" s="3"/>
      <c r="AC141" s="3"/>
      <c r="AE141" s="2"/>
      <c r="AF141" s="6"/>
      <c r="AG141" s="1"/>
      <c r="AH141" s="2"/>
      <c r="AI141" s="3"/>
      <c r="AJ141" s="3"/>
      <c r="AK141" s="3"/>
      <c r="AM141" s="2"/>
      <c r="AN141" s="6"/>
      <c r="AO141" s="1"/>
      <c r="AP141" s="2"/>
      <c r="AQ141" s="3"/>
      <c r="AR141" s="3"/>
      <c r="AS141" s="3"/>
      <c r="AU141" s="2"/>
      <c r="AV141" s="6"/>
      <c r="AW141" s="1"/>
      <c r="AX141" s="2"/>
      <c r="AY141" s="3"/>
      <c r="AZ141" s="3"/>
      <c r="BA141" s="3"/>
      <c r="BC141" s="2"/>
      <c r="BD141" s="6"/>
      <c r="BE141" s="1"/>
      <c r="BF141" s="2"/>
      <c r="BG141" s="3"/>
      <c r="BH141" s="3"/>
      <c r="BI141" s="3"/>
    </row>
    <row r="142" spans="23:61" x14ac:dyDescent="0.25">
      <c r="X142"/>
      <c r="Y142"/>
      <c r="AA142" s="3"/>
      <c r="AB142" s="3"/>
      <c r="AC142" s="3"/>
      <c r="AE142" s="2"/>
      <c r="AH142" s="2"/>
      <c r="AI142" s="3"/>
      <c r="AJ142" s="3"/>
      <c r="AK142" s="3"/>
      <c r="AM142" s="2"/>
      <c r="AP142" s="2"/>
      <c r="AQ142" s="3"/>
      <c r="AR142" s="3"/>
      <c r="AS142" s="3"/>
      <c r="AU142" s="2"/>
      <c r="AX142" s="2"/>
      <c r="AY142" s="3"/>
      <c r="AZ142" s="3"/>
      <c r="BA142" s="3"/>
      <c r="BC142" s="2"/>
      <c r="BF142" s="2"/>
      <c r="BG142" s="3"/>
      <c r="BH142" s="3"/>
      <c r="BI142" s="3"/>
    </row>
    <row r="143" spans="23:61" x14ac:dyDescent="0.25">
      <c r="X143" s="26"/>
      <c r="Y143" s="26"/>
      <c r="AA143" s="3"/>
      <c r="AB143" s="3"/>
      <c r="AC143" s="3"/>
      <c r="AE143" s="2"/>
      <c r="AF143" s="26"/>
      <c r="AG143" s="26"/>
      <c r="AH143" s="2"/>
      <c r="AI143" s="3"/>
      <c r="AJ143" s="3"/>
      <c r="AK143" s="3"/>
      <c r="AM143" s="2"/>
      <c r="AN143" s="26"/>
      <c r="AO143" s="26"/>
      <c r="AP143" s="2"/>
      <c r="AQ143" s="3"/>
      <c r="AR143" s="3"/>
      <c r="AS143" s="3"/>
      <c r="AU143" s="2"/>
      <c r="AV143" s="26"/>
      <c r="AW143" s="26"/>
      <c r="AX143" s="2"/>
      <c r="AY143" s="3"/>
      <c r="AZ143" s="3"/>
      <c r="BA143" s="3"/>
      <c r="BC143" s="2"/>
      <c r="BD143" s="26"/>
      <c r="BE143" s="26"/>
      <c r="BF143" s="2"/>
      <c r="BG143" s="3"/>
      <c r="BH143" s="3"/>
      <c r="BI143" s="3"/>
    </row>
    <row r="144" spans="23:61" x14ac:dyDescent="0.25">
      <c r="W144"/>
      <c r="X144" s="6"/>
      <c r="Y144" s="1"/>
      <c r="AA144" s="3"/>
      <c r="AB144" s="3"/>
      <c r="AC144" s="3"/>
      <c r="AF144" s="6"/>
      <c r="AG144" s="1"/>
      <c r="AH144" s="2"/>
      <c r="AI144" s="3"/>
      <c r="AJ144" s="3"/>
      <c r="AK144" s="3"/>
      <c r="AN144" s="6"/>
      <c r="AO144" s="1"/>
      <c r="AP144" s="2"/>
      <c r="AQ144" s="3"/>
      <c r="AR144" s="3"/>
      <c r="AS144" s="3"/>
      <c r="AV144" s="6"/>
      <c r="AW144" s="1"/>
      <c r="AX144" s="2"/>
      <c r="AY144" s="3"/>
      <c r="AZ144" s="3"/>
      <c r="BA144" s="3"/>
      <c r="BD144" s="6"/>
      <c r="BE144" s="1"/>
      <c r="BF144" s="2"/>
      <c r="BG144" s="3"/>
      <c r="BH144" s="3"/>
      <c r="BI144" s="3"/>
    </row>
    <row r="145" spans="27:61" x14ac:dyDescent="0.25">
      <c r="AA145" s="3"/>
      <c r="AB145" s="3"/>
      <c r="AC145" s="3"/>
      <c r="AE145" s="2"/>
      <c r="AF145" s="2"/>
      <c r="AG145" s="2"/>
      <c r="AH145" s="2"/>
      <c r="AI145" s="3"/>
      <c r="AJ145" s="3"/>
      <c r="AK145" s="3"/>
      <c r="AM145" s="2"/>
      <c r="AN145" s="2"/>
      <c r="AO145" s="2"/>
      <c r="AP145" s="2"/>
      <c r="AQ145" s="3"/>
      <c r="AR145" s="3"/>
      <c r="AS145" s="3"/>
      <c r="AU145" s="2"/>
      <c r="AV145" s="2"/>
      <c r="AW145" s="2"/>
      <c r="AX145" s="2"/>
      <c r="AY145" s="3"/>
      <c r="AZ145" s="3"/>
      <c r="BA145" s="3"/>
      <c r="BC145" s="2"/>
      <c r="BD145" s="2"/>
      <c r="BE145" s="2"/>
      <c r="BF145" s="2"/>
      <c r="BG145" s="3"/>
      <c r="BH145" s="3"/>
      <c r="BI145" s="3"/>
    </row>
    <row r="146" spans="27:61" x14ac:dyDescent="0.25">
      <c r="AA146" s="3"/>
      <c r="AB146" s="3"/>
      <c r="AC146" s="3"/>
      <c r="AE146" s="2"/>
      <c r="AF146" s="2"/>
      <c r="AG146" s="2"/>
      <c r="AH146" s="2"/>
      <c r="AI146" s="3"/>
      <c r="AJ146" s="3"/>
      <c r="AK146" s="3"/>
      <c r="AM146" s="2"/>
      <c r="AN146" s="2"/>
      <c r="AO146" s="2"/>
      <c r="AP146" s="2"/>
      <c r="AQ146" s="3"/>
      <c r="AR146" s="3"/>
      <c r="AS146" s="3"/>
      <c r="AU146" s="2"/>
      <c r="AV146" s="2"/>
      <c r="AW146" s="2"/>
      <c r="AX146" s="2"/>
      <c r="AY146" s="3"/>
      <c r="AZ146" s="3"/>
      <c r="BA146" s="3"/>
      <c r="BC146" s="2"/>
      <c r="BD146" s="2"/>
      <c r="BE146" s="2"/>
      <c r="BF146" s="2"/>
      <c r="BG146" s="3"/>
      <c r="BH146" s="3"/>
      <c r="BI146" s="3"/>
    </row>
    <row r="147" spans="27:61" x14ac:dyDescent="0.25">
      <c r="AE147" s="2"/>
      <c r="AF147" s="6"/>
      <c r="AG147" s="1"/>
      <c r="AH147" s="2"/>
      <c r="AI147" s="5"/>
      <c r="AJ147" s="5"/>
      <c r="AK147" s="5"/>
      <c r="AM147" s="2"/>
      <c r="AN147" s="6"/>
      <c r="AO147" s="1"/>
      <c r="AP147" s="2"/>
      <c r="AQ147" s="5"/>
      <c r="AR147" s="5"/>
      <c r="AS147" s="5"/>
      <c r="AU147" s="2"/>
      <c r="AV147" s="6"/>
      <c r="AW147" s="1"/>
      <c r="AX147" s="2"/>
      <c r="AY147" s="5"/>
      <c r="AZ147" s="5"/>
      <c r="BA147" s="5"/>
    </row>
    <row r="148" spans="27:61" x14ac:dyDescent="0.25">
      <c r="AE148" s="2"/>
      <c r="AF148" s="2"/>
      <c r="AG148" s="2"/>
      <c r="AH148" s="2"/>
      <c r="AI148" s="5"/>
      <c r="AJ148" s="5"/>
      <c r="AK148" s="5"/>
      <c r="AM148" s="2"/>
      <c r="AN148" s="2"/>
      <c r="AO148" s="2"/>
      <c r="AP148" s="2"/>
      <c r="AQ148" s="5"/>
      <c r="AR148" s="5"/>
      <c r="AS148" s="5"/>
      <c r="AU148" s="2"/>
      <c r="AV148" s="2"/>
      <c r="AW148" s="2"/>
      <c r="AX148" s="2"/>
      <c r="AY148" s="5"/>
      <c r="AZ148" s="5"/>
      <c r="BA148" s="5"/>
    </row>
    <row r="149" spans="27:61" x14ac:dyDescent="0.25">
      <c r="AE149" s="2"/>
      <c r="AF149" s="2"/>
      <c r="AG149" s="2"/>
      <c r="AH149" s="2"/>
      <c r="AI149" s="5"/>
      <c r="AJ149" s="5"/>
      <c r="AK149" s="5"/>
      <c r="AM149" s="2"/>
      <c r="AN149" s="2"/>
      <c r="AO149" s="2"/>
      <c r="AP149" s="2"/>
      <c r="AQ149" s="5"/>
      <c r="AR149" s="5"/>
      <c r="AS149" s="5"/>
      <c r="AU149" s="2"/>
      <c r="AV149" s="2"/>
      <c r="AW149" s="2"/>
      <c r="AX149" s="2"/>
      <c r="AY149" s="5"/>
      <c r="AZ149" s="5"/>
      <c r="BA149" s="5"/>
    </row>
    <row r="150" spans="27:61" x14ac:dyDescent="0.25">
      <c r="AE150" s="2"/>
      <c r="AF150" s="6"/>
      <c r="AG150" s="1"/>
      <c r="AH150" s="2"/>
      <c r="AI150" s="5"/>
      <c r="AJ150" s="5"/>
      <c r="AK150" s="5"/>
      <c r="AM150" s="2"/>
      <c r="AN150" s="2"/>
      <c r="AO150" s="2"/>
      <c r="AP150" s="2"/>
      <c r="AQ150" s="5"/>
      <c r="AR150" s="5"/>
      <c r="AS150" s="5"/>
      <c r="AU150" s="2"/>
      <c r="AV150" s="6"/>
      <c r="AW150" s="1"/>
      <c r="AX150" s="2"/>
      <c r="AY150" s="5"/>
      <c r="AZ150" s="5"/>
      <c r="BA150" s="5"/>
    </row>
    <row r="151" spans="27:61" x14ac:dyDescent="0.25">
      <c r="AE151" s="2"/>
      <c r="AF151" s="2"/>
      <c r="AG151" s="2"/>
      <c r="AH151" s="2"/>
      <c r="AI151" s="5"/>
      <c r="AJ151" s="5"/>
      <c r="AK151" s="5"/>
      <c r="AM151" s="2"/>
      <c r="AN151" s="2"/>
      <c r="AO151" s="2"/>
      <c r="AP151" s="2"/>
      <c r="AQ151" s="5"/>
      <c r="AR151" s="5"/>
      <c r="AS151" s="5"/>
      <c r="AU151" s="2"/>
      <c r="AV151" s="2"/>
      <c r="AW151" s="2"/>
      <c r="AX151" s="2"/>
      <c r="AY151" s="5"/>
      <c r="AZ151" s="5"/>
      <c r="BA151" s="5"/>
    </row>
    <row r="152" spans="27:61" x14ac:dyDescent="0.25">
      <c r="AE152" s="2"/>
      <c r="AF152" s="2"/>
      <c r="AG152" s="2"/>
      <c r="AH152" s="2"/>
      <c r="AI152" s="5"/>
      <c r="AJ152" s="5"/>
      <c r="AK152" s="5"/>
      <c r="AM152" s="2"/>
      <c r="AN152" s="6"/>
      <c r="AO152" s="1"/>
      <c r="AP152" s="2"/>
      <c r="AQ152" s="5"/>
      <c r="AR152" s="5"/>
      <c r="AS152" s="5"/>
      <c r="AU152" s="2"/>
      <c r="AV152" s="6"/>
      <c r="AW152" s="1"/>
      <c r="AX152" s="2"/>
      <c r="AY152" s="5"/>
      <c r="AZ152" s="5"/>
      <c r="BA152" s="5"/>
    </row>
    <row r="153" spans="27:61" x14ac:dyDescent="0.25">
      <c r="AE153" s="2"/>
      <c r="AF153" s="6"/>
      <c r="AG153" s="1"/>
      <c r="AH153" s="2"/>
      <c r="AI153" s="5"/>
      <c r="AJ153" s="5"/>
      <c r="AK153" s="5"/>
      <c r="AM153" s="2"/>
      <c r="AN153" s="2"/>
      <c r="AO153" s="2"/>
      <c r="AP153" s="2"/>
      <c r="AQ153" s="5"/>
      <c r="AR153" s="5"/>
      <c r="AS153" s="5"/>
      <c r="AU153" s="2"/>
      <c r="AV153" s="2"/>
      <c r="AW153" s="2"/>
      <c r="AX153" s="2"/>
      <c r="AY153" s="5"/>
      <c r="AZ153" s="5"/>
      <c r="BA153" s="5"/>
    </row>
    <row r="154" spans="27:61" x14ac:dyDescent="0.25">
      <c r="AE154" s="2"/>
      <c r="AF154" s="2"/>
      <c r="AG154" s="2"/>
      <c r="AH154" s="2"/>
      <c r="AI154" s="5"/>
      <c r="AJ154" s="5"/>
      <c r="AK154" s="5"/>
      <c r="AM154" s="2"/>
      <c r="AN154" s="2"/>
      <c r="AO154" s="2"/>
      <c r="AP154" s="2"/>
      <c r="AQ154" s="5"/>
      <c r="AR154" s="5"/>
      <c r="AS154" s="5"/>
      <c r="AU154" s="2"/>
      <c r="AV154" s="2"/>
      <c r="AW154" s="2"/>
      <c r="AX154" s="2"/>
      <c r="AY154" s="5"/>
      <c r="AZ154" s="5"/>
      <c r="BA154" s="5"/>
    </row>
    <row r="155" spans="27:61" x14ac:dyDescent="0.25">
      <c r="AE155" s="2"/>
      <c r="AF155" s="2"/>
      <c r="AG155" s="2"/>
      <c r="AH155" s="2"/>
      <c r="AI155" s="5"/>
      <c r="AJ155" s="5"/>
      <c r="AK155" s="5"/>
    </row>
  </sheetData>
  <mergeCells count="3">
    <mergeCell ref="W62:AE62"/>
    <mergeCell ref="W93:AT93"/>
    <mergeCell ref="B118:M120"/>
  </mergeCells>
  <phoneticPr fontId="7" type="noConversion"/>
  <dataValidations count="4">
    <dataValidation type="list" allowBlank="1" showInputMessage="1" showErrorMessage="1" sqref="Z5" xr:uid="{D42A8282-FCAC-2748-83EC-ABA47F40FC28}">
      <formula1>$T$7:$T$10</formula1>
    </dataValidation>
    <dataValidation type="list" allowBlank="1" showInputMessage="1" showErrorMessage="1" sqref="W106:W109 AE101:AE104 AE97:AE99 W97:W99 AM97:AM99 AM106:AM109 AM101:AM104 W101:W104 AE106:AE109" xr:uid="{432C3C53-3883-8043-8A66-6BB98C3327F5}">
      <formula1>$W$120:$W$122</formula1>
    </dataValidation>
    <dataValidation type="list" allowBlank="1" showInputMessage="1" showErrorMessage="1" sqref="W5 E4 R5" xr:uid="{B41C264A-85FD-7948-AE1E-A647F26A46A2}">
      <formula1>$B$70:$B$79</formula1>
    </dataValidation>
    <dataValidation type="list" allowBlank="1" showInputMessage="1" showErrorMessage="1" sqref="U5" xr:uid="{BFF38537-558E-429B-A1A5-A7B24828BF78}">
      <formula1>$N$6:$N$9</formula1>
    </dataValidation>
  </dataValidations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(STARBUCKS) 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Tay</dc:creator>
  <cp:lastModifiedBy>Jaga M</cp:lastModifiedBy>
  <dcterms:created xsi:type="dcterms:W3CDTF">2022-02-18T15:19:05Z</dcterms:created>
  <dcterms:modified xsi:type="dcterms:W3CDTF">2026-04-07T08:10:07Z</dcterms:modified>
</cp:coreProperties>
</file>